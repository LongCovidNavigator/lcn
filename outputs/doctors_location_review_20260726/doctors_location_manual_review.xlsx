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c0d4155ff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8e320d6ea31547eb"/>
    <x:sheet xmlns:r="http://schemas.openxmlformats.org/officeDocument/2006/relationships" name="Prüfliste" sheetId="2" r:id="R4c79f515d66a44f2"/>
    <x:sheet xmlns:r="http://schemas.openxmlformats.org/officeDocument/2006/relationships" name="Codebuch" sheetId="3" r:id="Rcf49234ca3c5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sz val="11"/>
      <x:color rgb="FF16324F"/>
      <x:name val="Aptos"/>
    </x:font>
    <x:font>
      <x:b/>
      <x:sz val="18"/>
      <x:color rgb="FFFFFFFF"/>
      <x:name val="Aptos Display"/>
    </x:font>
    <x:font>
      <x:b/>
      <x:sz val="11"/>
      <x:color rgb="FF16324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1F8"/>
      </x:patternFill>
    </x:fill>
    <x:fill>
      <x:patternFill patternType="solid">
        <x:fgColor rgb="FF2E5D7B"/>
      </x:patternFill>
    </x:fill>
    <x:fill>
      <x:patternFill patternType="solid">
        <x:fgColor rgb="FFFDE2E1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5" borderId="3" xfId="0" applyNumberFormat="1" applyFont="1" applyFill="1" applyBorder="1"/>
    <x:xf numFmtId="0" fontId="0" fillId="6" borderId="3" xfId="0" applyNumberFormat="1" applyFont="1" applyFill="1" applyBorder="1"/>
    <x:xf numFmtId="0" fontId="0" fillId="7" borderId="3" xfId="0" applyNumberFormat="1" applyFont="1" applyFill="1" applyBorder="1"/>
    <x:xf numFmtId="0" fontId="0" fillId="8" borderId="5" xfId="0" applyNumberFormat="1" applyFont="1" applyFill="1" applyBorder="1"/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5" fillId="5" borderId="3" xfId="0" applyNumberFormat="1" applyFont="1" applyFill="1" applyBorder="1"/>
    <x:xf numFmtId="200" fontId="5" fillId="0" borderId="4" xfId="0" applyNumberFormat="1" applyFont="1" applyFill="1" applyBorder="1"/>
    <x:xf numFmtId="0" fontId="5" fillId="0" borderId="3" xfId="0" applyNumberFormat="1" applyFont="1" applyFill="1" applyBorder="1"/>
    <x:xf numFmtId="0" fontId="5" fillId="6" borderId="3" xfId="0" applyNumberFormat="1" applyFont="1" applyFill="1" applyBorder="1"/>
    <x:xf numFmtId="0" fontId="5" fillId="7" borderId="3" xfId="0" applyNumberFormat="1" applyFont="1" applyFill="1" applyBorder="1"/>
    <x:xf numFmtId="0" fontId="5" fillId="8" borderId="5" xfId="0" applyNumberFormat="1" applyFont="1" applyFill="1" applyBorder="1"/>
    <x:xf numFmtId="200" fontId="5" fillId="0" borderId="6" xfId="0" applyNumberFormat="1" applyFont="1" applyFill="1" applyBorder="1"/>
    <x:xf numFmtId="0" fontId="5" fillId="0" borderId="5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5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595959"/>
      </x:font>
      <x:fill>
        <x:patternFill patternType="solid">
          <x:bgColor rgb="FFD9D9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343a1aedc4031" /><Relationship Type="http://schemas.openxmlformats.org/officeDocument/2006/relationships/theme" Target="/xl/theme/theme1.xml" Id="Rb79297aca3de452d" /><Relationship Type="http://schemas.openxmlformats.org/officeDocument/2006/relationships/sharedStrings" Target="/xl/sharedStrings.xml" Id="R49fc6763e79c4674" /><Relationship Type="http://schemas.openxmlformats.org/officeDocument/2006/relationships/worksheet" Target="/xl/worksheets/sheet1.xml" Id="R8e320d6ea31547eb" /><Relationship Type="http://schemas.openxmlformats.org/officeDocument/2006/relationships/worksheet" Target="/xl/worksheets/sheet2.xml" Id="R4c79f515d66a44f2" /><Relationship Type="http://schemas.openxmlformats.org/officeDocument/2006/relationships/worksheet" Target="/xl/worksheets/sheet3.xml" Id="Rcf49234ca3c54003" /><Relationship Type="http://schemas.microsoft.com/office/2017/10/relationships/person" Target="/xl/persons/person.xml" Id="Refa4a805eb944e3c" /></Relationships>
</file>

<file path=xl/persons/person.xml><?xml version="1.0" encoding="utf-8"?>
<xltc:personList xmlns:xltc="http://schemas.microsoft.com/office/spreadsheetml/2018/threadedcomments">
  <xltc:person displayName="User" id="{E5349ECF-CF6B-464B-883C-B9DEDF5F5613}"/>
</xltc:personList>
</file>

<file path=xl/tables/table1.xml><?xml version="1.0" encoding="utf-8"?>
<x:table xmlns:x="http://schemas.openxmlformats.org/spreadsheetml/2006/main" id="1" name="LocationReviewTable" displayName="LocationReviewTable" ref="A1:AB89" headerRowCount="1" totalsRowCount="0" totalsRowShown="0">
  <x:tableColumns count="28">
    <x:tableColumn id="1" name="review_priority"/>
    <x:tableColumn id="2" name="review_group"/>
    <x:tableColumn id="3" name="dr_id"/>
    <x:tableColumn id="4" name="dr_display_name"/>
    <x:tableColumn id="5" name="dr_org_name"/>
    <x:tableColumn id="6" name="website"/>
    <x:tableColumn id="7" name="loc_country_existing"/>
    <x:tableColumn id="8" name="loc_plz_existing"/>
    <x:tableColumn id="9" name="found_country"/>
    <x:tableColumn id="10" name="found_plz"/>
    <x:tableColumn id="11" name="found_city"/>
    <x:tableColumn id="12" name="found_street"/>
    <x:tableColumn id="13" name="found_housenumber"/>
    <x:tableColumn id="14" name="address_full"/>
    <x:tableColumn id="15" name="plz_match"/>
    <x:tableColumn id="16" name="result_status"/>
    <x:tableColumn id="17" name="confidence"/>
    <x:tableColumn id="18" name="activity_status"/>
    <x:tableColumn id="19" name="multiple_locations"/>
    <x:tableColumn id="20" name="alternate_locations"/>
    <x:tableColumn id="21" name="entity_issue"/>
    <x:tableColumn id="22" name="source_page_url"/>
    <x:tableColumn id="23" name="evidence_note"/>
    <x:tableColumn id="24" name="external_review_note"/>
    <x:tableColumn id="25" name="validation_required"/>
    <x:tableColumn id="26" name="review_decision"/>
    <x:tableColumn id="27" name="review_comment"/>
    <x:tableColumn id="28" name="entity_issue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308a83992247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4" hidden="0" customWidth="1"/>
    <x:col min="4" max="4" width="25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38" t="str">
        <x:v>Standortrecherche – manuelle Prüfmappe</x:v>
      </x:c>
      <x:c r="B1" s="38"/>
      <x:c r="C1" s="38"/>
      <x:c r="D1" s="38"/>
      <x:c r="E1" s="38"/>
      <x:c r="F1" s="38"/>
      <x:c r="G1" s="38"/>
      <x:c r="H1" s="38"/>
    </x:row>
    <x:row r="2">
      <x:c r="A2" s="38"/>
      <x:c r="B2" s="38"/>
      <x:c r="C2" s="38"/>
      <x:c r="D2" s="38"/>
      <x:c r="E2" s="38"/>
      <x:c r="F2" s="38"/>
      <x:c r="G2" s="38"/>
      <x:c r="H2" s="38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27" t="str">
        <x:v>Prüfgruppe</x:v>
      </x:c>
      <x:c r="B4" s="28" t="str">
        <x:v>Anzahl</x:v>
      </x:c>
      <x:c r="C4" s="26"/>
      <x:c r="D4" s="27" t="str">
        <x:v>Qualitätsmerkmal</x:v>
      </x:c>
      <x:c r="E4" s="28" t="str">
        <x:v>Anzahl</x:v>
      </x:c>
      <x:c r="F4" s="26"/>
      <x:c r="G4" s="26"/>
      <x:c r="H4" s="26"/>
    </x:row>
    <x:row r="5">
      <x:c r="A5" s="29" t="str">
        <x:v>1 – Sonderfall</x:v>
      </x:c>
      <x:c r="B5" s="30" t="n">
        <x:f>COUNTIF('Prüfliste'!$B$2:$B$89,A5)</x:f>
        <x:v>20</x:v>
      </x:c>
      <x:c r="C5" s="26"/>
      <x:c r="D5" s="31" t="str">
        <x:v>PLZ-Konflikte</x:v>
      </x:c>
      <x:c r="E5" s="30" t="n">
        <x:f>COUNTIF('Prüfliste'!$O$2:$O$89,"no")</x:f>
        <x:v>9</x:v>
      </x:c>
      <x:c r="F5" s="26"/>
      <x:c r="G5" s="26"/>
      <x:c r="H5" s="26"/>
    </x:row>
    <x:row r="6">
      <x:c r="A6" s="32" t="str">
        <x:v>2 – Offen</x:v>
      </x:c>
      <x:c r="B6" s="30" t="n">
        <x:f>COUNTIF('Prüfliste'!$B$2:$B$89,A6)</x:f>
        <x:v>9</x:v>
      </x:c>
      <x:c r="C6" s="26"/>
      <x:c r="D6" s="31" t="str">
        <x:v>Geschlossene Praxen</x:v>
      </x:c>
      <x:c r="E6" s="30" t="n">
        <x:f>COUNTIF('Prüfliste'!$R$2:$R$89,"closed")</x:f>
        <x:v>2</x:v>
      </x:c>
      <x:c r="F6" s="26"/>
      <x:c r="G6" s="26"/>
      <x:c r="H6" s="26"/>
    </x:row>
    <x:row r="7">
      <x:c r="A7" s="33" t="str">
        <x:v>3 – Wahrscheinlich</x:v>
      </x:c>
      <x:c r="B7" s="30" t="n">
        <x:f>COUNTIF('Prüfliste'!$B$2:$B$89,A7)</x:f>
        <x:v>23</x:v>
      </x:c>
      <x:c r="C7" s="26"/>
      <x:c r="D7" s="31" t="str">
        <x:v>Mehrstandorte</x:v>
      </x:c>
      <x:c r="E7" s="30" t="n">
        <x:f>COUNTIF('Prüfliste'!$S$2:$S$89,"yes")</x:f>
        <x:v>5</x:v>
      </x:c>
      <x:c r="F7" s="26"/>
      <x:c r="G7" s="26"/>
      <x:c r="H7" s="26"/>
    </x:row>
    <x:row r="8">
      <x:c r="A8" s="34" t="str">
        <x:v>4 – Direkt übernehmbar</x:v>
      </x:c>
      <x:c r="B8" s="35" t="n">
        <x:f>COUNTIF('Prüfliste'!$B$2:$B$89,A8)</x:f>
        <x:v>36</x:v>
      </x:c>
      <x:c r="C8" s="26"/>
      <x:c r="D8" s="36" t="str">
        <x:v>Entitätsprobleme</x:v>
      </x:c>
      <x:c r="E8" s="35" t="n">
        <x:f>SUM('Prüfliste'!$AB$2:$AB$89)</x:f>
        <x:v>7</x:v>
      </x:c>
      <x:c r="F8" s="26"/>
      <x:c r="G8" s="26"/>
      <x:c r="H8" s="26"/>
    </x:row>
    <x:row r="9">
      <x:c r="A9" s="26"/>
      <x:c r="B9" s="26"/>
      <x:c r="C9" s="26"/>
      <x:c r="D9" s="26"/>
      <x:c r="E9" s="26"/>
      <x:c r="F9" s="26"/>
      <x:c r="G9" s="26"/>
      <x:c r="H9" s="26"/>
    </x:row>
    <x:row r="10">
      <x:c r="A10" s="37" t="str">
        <x:v>Empfohlene Reihenfolge: zuerst Sonderfälle, anschließend offene und wahrscheinliche Treffer prüfen. Erst danach bestätigte Adressen geocodieren.</x:v>
      </x:c>
      <x:c r="B10" s="37"/>
      <x:c r="C10" s="37"/>
      <x:c r="D10" s="37"/>
      <x:c r="E10" s="37"/>
      <x:c r="F10" s="37"/>
      <x:c r="G10" s="37"/>
      <x:c r="H10" s="37"/>
    </x:row>
    <x:row r="11">
      <x:c r="A11" s="37"/>
      <x:c r="B11" s="37"/>
      <x:c r="C11" s="37"/>
      <x:c r="D11" s="37"/>
      <x:c r="E11" s="37"/>
      <x:c r="F11" s="37"/>
      <x:c r="G11" s="37"/>
      <x:c r="H11" s="37"/>
    </x:row>
  </x:sheetData>
  <x:mergeCells>
    <x:mergeCell ref="A1:H2"/>
    <x:mergeCell ref="A10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24" hidden="0" customWidth="1"/>
    <x:col min="5" max="5" width="24" hidden="0" customWidth="1"/>
    <x:col min="6" max="6" width="28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2" hidden="0" customWidth="1"/>
    <x:col min="21" max="21" width="42" hidden="0" customWidth="1"/>
    <x:col min="22" max="22" width="45" hidden="0" customWidth="1"/>
    <x:col min="23" max="23" width="55" hidden="0" customWidth="1"/>
    <x:col min="24" max="24" width="55" hidden="0" customWidth="1"/>
    <x:col min="25" max="25" width="20" hidden="0" customWidth="1"/>
    <x:col min="26" max="26" width="20" hidden="0" customWidth="1"/>
    <x:col min="27" max="27" width="45" hidden="0" customWidth="1"/>
    <x:col min="28" max="28" width="16" hidden="0" customWidth="1"/>
  </x:cols>
  <x:sheetData>
    <x:row r="1" ht="34" customHeight="1">
      <x:c r="A1" s="41" t="str">
        <x:v>review_priority</x:v>
      </x:c>
      <x:c r="B1" s="41" t="str">
        <x:v>review_group</x:v>
      </x:c>
      <x:c r="C1" s="41" t="str">
        <x:v>dr_id</x:v>
      </x:c>
      <x:c r="D1" s="41" t="str">
        <x:v>dr_display_name</x:v>
      </x:c>
      <x:c r="E1" s="41" t="str">
        <x:v>dr_org_name</x:v>
      </x:c>
      <x:c r="F1" s="41" t="str">
        <x:v>website</x:v>
      </x:c>
      <x:c r="G1" s="41" t="str">
        <x:v>loc_country_existing</x:v>
      </x:c>
      <x:c r="H1" s="41" t="str">
        <x:v>loc_plz_existing</x:v>
      </x:c>
      <x:c r="I1" s="41" t="str">
        <x:v>found_country</x:v>
      </x:c>
      <x:c r="J1" s="41" t="str">
        <x:v>found_plz</x:v>
      </x:c>
      <x:c r="K1" s="41" t="str">
        <x:v>found_city</x:v>
      </x:c>
      <x:c r="L1" s="41" t="str">
        <x:v>found_street</x:v>
      </x:c>
      <x:c r="M1" s="41" t="str">
        <x:v>found_housenumber</x:v>
      </x:c>
      <x:c r="N1" s="41" t="str">
        <x:v>address_full</x:v>
      </x:c>
      <x:c r="O1" s="41" t="str">
        <x:v>plz_match</x:v>
      </x:c>
      <x:c r="P1" s="41" t="str">
        <x:v>result_status</x:v>
      </x:c>
      <x:c r="Q1" s="41" t="str">
        <x:v>confidence</x:v>
      </x:c>
      <x:c r="R1" s="41" t="str">
        <x:v>activity_status</x:v>
      </x:c>
      <x:c r="S1" s="41" t="str">
        <x:v>multiple_locations</x:v>
      </x:c>
      <x:c r="T1" s="41" t="str">
        <x:v>alternate_locations</x:v>
      </x:c>
      <x:c r="U1" s="41" t="str">
        <x:v>entity_issue</x:v>
      </x:c>
      <x:c r="V1" s="41" t="str">
        <x:v>source_page_url</x:v>
      </x:c>
      <x:c r="W1" s="41" t="str">
        <x:v>evidence_note</x:v>
      </x:c>
      <x:c r="X1" s="41" t="str">
        <x:v>external_review_note</x:v>
      </x:c>
      <x:c r="Y1" s="41" t="str">
        <x:v>validation_required</x:v>
      </x:c>
      <x:c r="Z1" s="41" t="str">
        <x:v>review_decision</x:v>
      </x:c>
      <x:c r="AA1" s="41" t="str">
        <x:v>review_comment</x:v>
      </x:c>
      <x:c r="AB1" s="41" t="str">
        <x:v>entity_issue_flag</x:v>
      </x:c>
    </x:row>
    <x:row r="2">
      <x:c r="A2" s="44" t="n">
        <x:v>1</x:v>
      </x:c>
      <x:c r="B2" s="44" t="str">
        <x:v>1 – Sonderfall</x:v>
      </x:c>
      <x:c r="C2" s="47" t="str">
        <x:v>1092</x:v>
      </x:c>
      <x:c r="D2" s="46" t="str">
        <x:v>Dr. Bettina Müller</x:v>
      </x:c>
      <x:c r="E2" s="46" t="str"/>
      <x:c r="F2" s="46" t="str">
        <x:v>www.ganzheitliche-neurologie-frankfurt.de</x:v>
      </x:c>
      <x:c r="G2" s="46" t="str">
        <x:v>DE</x:v>
      </x:c>
      <x:c r="H2" s="48" t="str">
        <x:v>60487</x:v>
      </x:c>
      <x:c r="I2" s="46" t="str">
        <x:v>DE</x:v>
      </x:c>
      <x:c r="J2" s="48" t="str">
        <x:v>60487</x:v>
      </x:c>
      <x:c r="K2" s="46" t="str">
        <x:v>Frankfurt am Main</x:v>
      </x:c>
      <x:c r="L2" s="46" t="str">
        <x:v>Clemensstraße</x:v>
      </x:c>
      <x:c r="M2" s="46" t="str">
        <x:v>12</x:v>
      </x:c>
      <x:c r="N2" s="46" t="str">
        <x:v>Clemensstraße 12, 60487 Frankfurt am Main</x:v>
      </x:c>
      <x:c r="O2" s="46" t="str">
        <x:v>yes</x:v>
      </x:c>
      <x:c r="P2" s="46" t="str">
        <x:v>ambiguous</x:v>
      </x:c>
      <x:c r="Q2" s="46" t="str">
        <x:v>low</x:v>
      </x:c>
      <x:c r="R2" s="46" t="str"/>
      <x:c r="S2" s="46" t="str">
        <x:v>yes</x:v>
      </x:c>
      <x:c r="T2" s="46" t="str">
        <x:v>Kurt-Schumacher-Straße 6–8, 65760 Eschborn, DE</x:v>
      </x:c>
      <x:c r="U2" s="46" t="str"/>
      <x:c r="V2" s="46" t="str">
        <x:v>https://www.ganzheitliche-neurologie-frankfurt.de/</x:v>
      </x:c>
      <x:c r="W2" s="46" t="str">
        <x:v>Manuell im Browser zusätzlich über Praxisdomain, Name, PLZ und konkrete Anschrift gegengeprüft. visible page text near matching postal code; checked 5 page(s)</x:v>
      </x:c>
      <x:c r="X2" s="46" t="str">
        <x:v>Zweiter Standort Eschborn laut konsolidierter Ergänzung; Frankfurt bleibt Primärstandort. Mehrstandort vor Import prüfen.</x:v>
      </x:c>
      <x:c r="Y2" s="46" t="str">
        <x:v>yes</x:v>
      </x:c>
      <x:c r="Z2" s="45" t="str">
        <x:v>offen</x:v>
      </x:c>
      <x:c r="AA2" s="45" t="str"/>
      <x:c r="AB2" s="46" t="n">
        <x:f>IF(LEN(U2)&gt;0,1,0)</x:f>
        <x:v>0</x:v>
      </x:c>
    </x:row>
    <x:row r="3">
      <x:c r="A3" s="44" t="n">
        <x:v>1</x:v>
      </x:c>
      <x:c r="B3" s="44" t="str">
        <x:v>1 – Sonderfall</x:v>
      </x:c>
      <x:c r="C3" s="47" t="str">
        <x:v>1063</x:v>
      </x:c>
      <x:c r="D3" s="46" t="str">
        <x:v>Dr. Jansen Rossek</x:v>
      </x:c>
      <x:c r="E3" s="46" t="str"/>
      <x:c r="F3" s="46" t="str">
        <x:v>symmed.de</x:v>
      </x:c>
      <x:c r="G3" s="46" t="str">
        <x:v>DE</x:v>
      </x:c>
      <x:c r="H3" s="48" t="str">
        <x:v>14169</x:v>
      </x:c>
      <x:c r="I3" s="46" t="str">
        <x:v>DE</x:v>
      </x:c>
      <x:c r="J3" s="48" t="str">
        <x:v>14169</x:v>
      </x:c>
      <x:c r="K3" s="46" t="str">
        <x:v>Berlin</x:v>
      </x:c>
      <x:c r="L3" s="46" t="str">
        <x:v>Kleinaustraße</x:v>
      </x:c>
      <x:c r="M3" s="46" t="str">
        <x:v>7</x:v>
      </x:c>
      <x:c r="N3" s="46" t="str">
        <x:v>Kleinaustraße 7, 14169 Berlin</x:v>
      </x:c>
      <x:c r="O3" s="46" t="str">
        <x:v>yes</x:v>
      </x:c>
      <x:c r="P3" s="46" t="str">
        <x:v>confirmed</x:v>
      </x:c>
      <x:c r="Q3" s="46" t="str">
        <x:v>high</x:v>
      </x:c>
      <x:c r="R3" s="46" t="str"/>
      <x:c r="S3" s="46" t="str">
        <x:v>no</x:v>
      </x:c>
      <x:c r="T3" s="46" t="str"/>
      <x:c r="U3" s="46" t="str">
        <x:v>Anzeigename vermutlich falsch: Website nennt Rolf Jansen-Rosseck statt Dr. Jansen Rossek.</x:v>
      </x:c>
      <x:c r="V3" s="46" t="str">
        <x:v>https://symmed.de/</x:v>
      </x:c>
      <x:c r="W3" s="46" t="str">
        <x:v>Manuell im Browser auf der dokumentierten offiziellen Praxis-/Kontaktseite bestätigt. visible page text near matching postal code; checked 4 page(s)</x:v>
      </x:c>
      <x:c r="X3" s="46" t="str">
        <x:v>Adresse bestätigt, Identität und Namensdarstellung vor Datenbankupdate prüfen.</x:v>
      </x:c>
      <x:c r="Y3" s="46" t="str">
        <x:v>yes</x:v>
      </x:c>
      <x:c r="Z3" s="45" t="str">
        <x:v>offen</x:v>
      </x:c>
      <x:c r="AA3" s="45" t="str"/>
      <x:c r="AB3" s="46" t="n">
        <x:f>IF(LEN(U3)&gt;0,1,0)</x:f>
        <x:v>1</x:v>
      </x:c>
    </x:row>
    <x:row r="4">
      <x:c r="A4" s="44" t="n">
        <x:v>1</x:v>
      </x:c>
      <x:c r="B4" s="44" t="str">
        <x:v>1 – Sonderfall</x:v>
      </x:c>
      <x:c r="C4" s="47" t="str">
        <x:v>1065</x:v>
      </x:c>
      <x:c r="D4" s="46" t="str">
        <x:v>Sieglinde Bast</x:v>
      </x:c>
      <x:c r="E4" s="46" t="str"/>
      <x:c r="F4" s="46" t="str">
        <x:v>www.praxis-bast.de</x:v>
      </x:c>
      <x:c r="G4" s="46" t="str">
        <x:v>DE</x:v>
      </x:c>
      <x:c r="H4" s="48" t="str">
        <x:v>15837</x:v>
      </x:c>
      <x:c r="I4" s="46" t="str">
        <x:v>DE</x:v>
      </x:c>
      <x:c r="J4" s="48" t="str">
        <x:v>15837</x:v>
      </x:c>
      <x:c r="K4" s="46" t="str">
        <x:v>Baruth/Mark</x:v>
      </x:c>
      <x:c r="L4" s="46" t="str">
        <x:v>Dämmchen</x:v>
      </x:c>
      <x:c r="M4" s="46" t="str">
        <x:v>17</x:v>
      </x:c>
      <x:c r="N4" s="46" t="str">
        <x:v>Dämmchen 17, 15837 Baruth/Mark</x:v>
      </x:c>
      <x:c r="O4" s="46" t="str">
        <x:v>yes</x:v>
      </x:c>
      <x:c r="P4" s="46" t="str">
        <x:v>confirmed</x:v>
      </x:c>
      <x:c r="Q4" s="46" t="str">
        <x:v>high</x:v>
      </x:c>
      <x:c r="R4" s="46" t="str"/>
      <x:c r="S4" s="46" t="str">
        <x:v>yes</x:v>
      </x:c>
      <x:c r="T4" s="46" t="str">
        <x:v>Erkstraße 3, 12043 Berlin, DE</x:v>
      </x:c>
      <x:c r="U4" s="46" t="str"/>
      <x:c r="V4" s="46" t="str">
        <x:v>https://www.praxis-bast.de/</x:v>
      </x:c>
      <x:c r="W4" s="46" t="str">
        <x:v>Manuell im Browser auf der dokumentierten offiziellen Praxis-/Kontaktseite bestätigt. visible page text near matching postal code; checked 5 page(s)</x:v>
      </x:c>
      <x:c r="X4" s="46" t="str">
        <x:v>Offizielle Website nennt zusätzlich zur primären Adresse in Baruth/Mark einen zweiten Praxisstandort in Berlin.</x:v>
      </x:c>
      <x:c r="Y4" s="46" t="str">
        <x:v>yes</x:v>
      </x:c>
      <x:c r="Z4" s="45" t="str">
        <x:v>offen</x:v>
      </x:c>
      <x:c r="AA4" s="45" t="str"/>
      <x:c r="AB4" s="46" t="n">
        <x:f>IF(LEN(U4)&gt;0,1,0)</x:f>
        <x:v>0</x:v>
      </x:c>
    </x:row>
    <x:row r="5">
      <x:c r="A5" s="44" t="n">
        <x:v>1</x:v>
      </x:c>
      <x:c r="B5" s="44" t="str">
        <x:v>1 – Sonderfall</x:v>
      </x:c>
      <x:c r="C5" s="47" t="str">
        <x:v>1068</x:v>
      </x:c>
      <x:c r="D5" s="46" t="str">
        <x:v>Dr. Anke Dixon</x:v>
      </x:c>
      <x:c r="E5" s="46" t="str"/>
      <x:c r="F5" s="46" t="str">
        <x:v>www.allgemeinmedizineilbek.de</x:v>
      </x:c>
      <x:c r="G5" s="46" t="str">
        <x:v>DE</x:v>
      </x:c>
      <x:c r="H5" s="48" t="str">
        <x:v>22089</x:v>
      </x:c>
      <x:c r="I5" s="46" t="str">
        <x:v>DE</x:v>
      </x:c>
      <x:c r="J5" s="48" t="str">
        <x:v>22089</x:v>
      </x:c>
      <x:c r="K5" s="46" t="str">
        <x:v>Hamburg - Eilbek</x:v>
      </x:c>
      <x:c r="L5" s="46" t="str">
        <x:v>Wandsbeker Chaussee</x:v>
      </x:c>
      <x:c r="M5" s="46" t="str">
        <x:v>121b</x:v>
      </x:c>
      <x:c r="N5" s="46" t="str">
        <x:v>Wandsbeker Chaussee 121b, 22089 Hamburg - Eilbek</x:v>
      </x:c>
      <x:c r="O5" s="46" t="str">
        <x:v>yes</x:v>
      </x:c>
      <x:c r="P5" s="46" t="str">
        <x:v>confirmed</x:v>
      </x:c>
      <x:c r="Q5" s="46" t="str">
        <x:v>high</x:v>
      </x:c>
      <x:c r="R5" s="46" t="str"/>
      <x:c r="S5" s="46" t="str">
        <x:v>no</x:v>
      </x:c>
      <x:c r="T5" s="46" t="str"/>
      <x:c r="U5" s="46" t="str">
        <x:v>Adresse gehört zur Praxis Allgemeinmedizin Eilbek; eindeutige aktuelle Zuordnung zu Dr. Anke Dixon prüfen.</x:v>
      </x:c>
      <x:c r="V5" s="46" t="str">
        <x:v>https://www.allgemeinmedizineilbek.de/</x:v>
      </x:c>
      <x:c r="W5" s="46" t="str">
        <x:v>Manuell im Browser auf der dokumentierten offiziellen Praxis-/Kontaktseite bestätigt. visible page text near matching postal code; checked 5 page(s)</x:v>
      </x:c>
      <x:c r="X5" s="46" t="str">
        <x:v>Praxisadresse plausibel, Personenbezug noch nicht abschließend belegt.</x:v>
      </x:c>
      <x:c r="Y5" s="46" t="str">
        <x:v>yes</x:v>
      </x:c>
      <x:c r="Z5" s="45" t="str">
        <x:v>offen</x:v>
      </x:c>
      <x:c r="AA5" s="45" t="str"/>
      <x:c r="AB5" s="46" t="n">
        <x:f>IF(LEN(U5)&gt;0,1,0)</x:f>
        <x:v>1</x:v>
      </x:c>
    </x:row>
    <x:row r="6">
      <x:c r="A6" s="44" t="n">
        <x:v>1</x:v>
      </x:c>
      <x:c r="B6" s="44" t="str">
        <x:v>1 – Sonderfall</x:v>
      </x:c>
      <x:c r="C6" s="47" t="str">
        <x:v>1069</x:v>
      </x:c>
      <x:c r="D6" s="46" t="str">
        <x:v>Dr. Lukas Mayerhoff</x:v>
      </x:c>
      <x:c r="E6" s="46" t="str"/>
      <x:c r="F6" s="46" t="str">
        <x:v>www.dr-mayerhoff.hamburg</x:v>
      </x:c>
      <x:c r="G6" s="46" t="str">
        <x:v>DE</x:v>
      </x:c>
      <x:c r="H6" s="48" t="str">
        <x:v>22391</x:v>
      </x:c>
      <x:c r="I6" s="46" t="str">
        <x:v>DE</x:v>
      </x:c>
      <x:c r="J6" s="48" t="str">
        <x:v>22359</x:v>
      </x:c>
      <x:c r="K6" s="46" t="str">
        <x:v>Hamburg</x:v>
      </x:c>
      <x:c r="L6" s="46" t="str">
        <x:v>Wiesenhöfen</x:v>
      </x:c>
      <x:c r="M6" s="46" t="str">
        <x:v>5</x:v>
      </x:c>
      <x:c r="N6" s="46" t="str">
        <x:v>Wiesenhöfen 5, 22359 Hamburg, DE</x:v>
      </x:c>
      <x:c r="O6" s="46" t="str">
        <x:v>no</x:v>
      </x:c>
      <x:c r="P6" s="46" t="str">
        <x:v>confirmed</x:v>
      </x:c>
      <x:c r="Q6" s="46" t="str">
        <x:v>high</x:v>
      </x:c>
      <x:c r="R6" s="46" t="str"/>
      <x:c r="S6" s="46" t="str">
        <x:v>no</x:v>
      </x:c>
      <x:c r="T6" s="46" t="str"/>
      <x:c r="U6" s="46" t="str"/>
      <x:c r="V6" s="46" t="str">
        <x:v>https://www.dr-mayerhoff.hamburg/kontakt/</x:v>
      </x:c>
      <x:c r="W6" s="46" t="str">
        <x:v>Aktuelle offizielle Kontaktseite nennt Dr. Lukas Mayerhoff, Wiesenhöfen 5, 22359 Hamburg. Frühere Rolfinckstraße 68 / 22391 nicht übernehmen.</x:v>
      </x:c>
      <x:c r="X6" s="46" t="str">
        <x:v>ChatGPT-Ergänzung bestätigte einen Standortwechsel; anschließend direkt auf der aktuellen offiziellen Kontaktseite verifiziert.</x:v>
      </x:c>
      <x:c r="Y6" s="46" t="str">
        <x:v>yes</x:v>
      </x:c>
      <x:c r="Z6" s="45" t="str">
        <x:v>offen</x:v>
      </x:c>
      <x:c r="AA6" s="45" t="str"/>
      <x:c r="AB6" s="46" t="n">
        <x:f>IF(LEN(U6)&gt;0,1,0)</x:f>
        <x:v>0</x:v>
      </x:c>
    </x:row>
    <x:row r="7">
      <x:c r="A7" s="44" t="n">
        <x:v>1</x:v>
      </x:c>
      <x:c r="B7" s="44" t="str">
        <x:v>1 – Sonderfall</x:v>
      </x:c>
      <x:c r="C7" s="47" t="str">
        <x:v>1100</x:v>
      </x:c>
      <x:c r="D7" s="46" t="str">
        <x:v>Dr. Markus Heinemann</x:v>
      </x:c>
      <x:c r="E7" s="46" t="str"/>
      <x:c r="F7" s="46" t="str">
        <x:v>www.rotebuehlpraxis.de</x:v>
      </x:c>
      <x:c r="G7" s="46" t="str">
        <x:v>DE</x:v>
      </x:c>
      <x:c r="H7" s="48" t="str">
        <x:v>70178</x:v>
      </x:c>
      <x:c r="I7" s="46" t="str">
        <x:v>DE</x:v>
      </x:c>
      <x:c r="J7" s="48" t="str">
        <x:v>70176</x:v>
      </x:c>
      <x:c r="K7" s="46" t="str">
        <x:v>Stuttgart</x:v>
      </x:c>
      <x:c r="L7" s="46" t="str">
        <x:v>Feuerseeplatz</x:v>
      </x:c>
      <x:c r="M7" s="46" t="str">
        <x:v>4</x:v>
      </x:c>
      <x:c r="N7" s="46" t="str">
        <x:v>Feuerseeplatz 4, 70176 Stuttgart, DE</x:v>
      </x:c>
      <x:c r="O7" s="46" t="str">
        <x:v>no</x:v>
      </x:c>
      <x:c r="P7" s="46" t="str">
        <x:v>confirmed</x:v>
      </x:c>
      <x:c r="Q7" s="46" t="str">
        <x:v>high</x:v>
      </x:c>
      <x:c r="R7" s="46" t="str"/>
      <x:c r="S7" s="46" t="str">
        <x:v>no</x:v>
      </x:c>
      <x:c r="T7" s="46" t="str"/>
      <x:c r="U7" s="46" t="str"/>
      <x:c r="V7" s="46" t="str">
        <x:v>https://www.rotebuehlpraxis.de/</x:v>
      </x:c>
      <x:c r="W7" s="46" t="str">
        <x:v>Aktuelle offizielle Website nennt Rotebühlpraxis Dr. Markus Heinemann, Feuerseeplatz 4, 70176 Stuttgart. Frühere Rotebühlstraße 104 / 70178 nicht übernehmen.</x:v>
      </x:c>
      <x:c r="X7" s="46" t="str">
        <x:v>ChatGPT-Ergänzung bestätigte einen Standortwechsel; anschließend direkt auf der aktuellen offiziellen Website verifiziert.</x:v>
      </x:c>
      <x:c r="Y7" s="46" t="str">
        <x:v>yes</x:v>
      </x:c>
      <x:c r="Z7" s="45" t="str">
        <x:v>offen</x:v>
      </x:c>
      <x:c r="AA7" s="45" t="str"/>
      <x:c r="AB7" s="46" t="n">
        <x:f>IF(LEN(U7)&gt;0,1,0)</x:f>
        <x:v>0</x:v>
      </x:c>
    </x:row>
    <x:row r="8">
      <x:c r="A8" s="44" t="n">
        <x:v>1</x:v>
      </x:c>
      <x:c r="B8" s="44" t="str">
        <x:v>1 – Sonderfall</x:v>
      </x:c>
      <x:c r="C8" s="47" t="str">
        <x:v>1105</x:v>
      </x:c>
      <x:c r="D8" s="46" t="str">
        <x:v>Dr. Simon Kohler</x:v>
      </x:c>
      <x:c r="E8" s="46" t="str"/>
      <x:c r="F8" s="46" t="str">
        <x:v>www.gemeinschaftspraxis-achern.de</x:v>
      </x:c>
      <x:c r="G8" s="46" t="str">
        <x:v>DE</x:v>
      </x:c>
      <x:c r="H8" s="48" t="str">
        <x:v>77855</x:v>
      </x:c>
      <x:c r="I8" s="46" t="str">
        <x:v>DE</x:v>
      </x:c>
      <x:c r="J8" s="48" t="str">
        <x:v>77855</x:v>
      </x:c>
      <x:c r="K8" s="46" t="str">
        <x:v>Achern</x:v>
      </x:c>
      <x:c r="L8" s="46" t="str">
        <x:v>Ratskellerstraße</x:v>
      </x:c>
      <x:c r="M8" s="46" t="str">
        <x:v>9-11</x:v>
      </x:c>
      <x:c r="N8" s="46" t="str">
        <x:v>Ratskellerstraße 9-11, 77855 Achern</x:v>
      </x:c>
      <x:c r="O8" s="46" t="str">
        <x:v>yes</x:v>
      </x:c>
      <x:c r="P8" s="46" t="str">
        <x:v>confirmed</x:v>
      </x:c>
      <x:c r="Q8" s="46" t="str">
        <x:v>high</x:v>
      </x:c>
      <x:c r="R8" s="46" t="str"/>
      <x:c r="S8" s="46" t="str">
        <x:v>yes</x:v>
      </x:c>
      <x:c r="T8" s="46" t="str">
        <x:v>Alter Sportplatz 13, 77880 Sasbach, DE</x:v>
      </x:c>
      <x:c r="U8" s="46" t="str"/>
      <x:c r="V8" s="46" t="str">
        <x:v>https://www.gemeinschaftspraxis-achern.de/</x:v>
      </x:c>
      <x:c r="W8" s="46" t="str">
        <x:v>Manuell im Browser auf der dokumentierten offiziellen Praxis-/Kontaktseite bestätigt. visible page text near matching postal code; checked 4 page(s)</x:v>
      </x:c>
      <x:c r="X8" s="46" t="str">
        <x:v>Offizielle Website nennt Achern und Sasbach; Achern ist als Primärstandort geführt.</x:v>
      </x:c>
      <x:c r="Y8" s="46" t="str">
        <x:v>yes</x:v>
      </x:c>
      <x:c r="Z8" s="45" t="str">
        <x:v>offen</x:v>
      </x:c>
      <x:c r="AA8" s="45" t="str"/>
      <x:c r="AB8" s="46" t="n">
        <x:f>IF(LEN(U8)&gt;0,1,0)</x:f>
        <x:v>0</x:v>
      </x:c>
    </x:row>
    <x:row r="9">
      <x:c r="A9" s="44" t="n">
        <x:v>1</x:v>
      </x:c>
      <x:c r="B9" s="44" t="str">
        <x:v>1 – Sonderfall</x:v>
      </x:c>
      <x:c r="C9" s="47" t="str">
        <x:v>1144</x:v>
      </x:c>
      <x:c r="D9" s="46" t="str">
        <x:v>Blehe und Team</x:v>
      </x:c>
      <x:c r="E9" s="46" t="str">
        <x:v>Blehe und Team</x:v>
      </x:c>
      <x:c r="F9" s="46" t="str">
        <x:v>www.alviasana.com</x:v>
      </x:c>
      <x:c r="G9" s="46" t="str">
        <x:v>DE</x:v>
      </x:c>
      <x:c r="H9" s="48" t="str">
        <x:v>86153</x:v>
      </x:c>
      <x:c r="I9" s="46" t="str">
        <x:v>DE</x:v>
      </x:c>
      <x:c r="J9" s="48" t="str">
        <x:v>86153</x:v>
      </x:c>
      <x:c r="K9" s="46" t="str">
        <x:v>Augsburg</x:v>
      </x:c>
      <x:c r="L9" s="46" t="str">
        <x:v>Nagahama-Allee</x:v>
      </x:c>
      <x:c r="M9" s="46" t="str">
        <x:v>75</x:v>
      </x:c>
      <x:c r="N9" s="46" t="str">
        <x:v>Nagahama-Allee 75,, 86153 Augsburg</x:v>
      </x:c>
      <x:c r="O9" s="46" t="str">
        <x:v>yes</x:v>
      </x:c>
      <x:c r="P9" s="46" t="str">
        <x:v>confirmed</x:v>
      </x:c>
      <x:c r="Q9" s="46" t="str">
        <x:v>high</x:v>
      </x:c>
      <x:c r="R9" s="46" t="str"/>
      <x:c r="S9" s="46" t="str">
        <x:v>no</x:v>
      </x:c>
      <x:c r="T9" s="46" t="str"/>
      <x:c r="U9" s="46" t="str">
        <x:v>Anzeigename vermutlich fehlerhaft: Einrichtung Alviasana; Blehe möglicherweise Dr. Sigrid Blehle.</x:v>
      </x:c>
      <x:c r="V9" s="46" t="str">
        <x:v>https://www.alviasana.com/</x:v>
      </x:c>
      <x:c r="W9" s="46" t="str">
        <x:v>Manuell im Browser auf der dokumentierten offiziellen Praxis-/Kontaktseite bestätigt. visible page text near matching postal code; checked 5 page(s)</x:v>
      </x:c>
      <x:c r="X9" s="46" t="str">
        <x:v>Adresse bestätigt, Person und Organisationsname vor Übernahme bereinigen.</x:v>
      </x:c>
      <x:c r="Y9" s="46" t="str">
        <x:v>yes</x:v>
      </x:c>
      <x:c r="Z9" s="45" t="str">
        <x:v>offen</x:v>
      </x:c>
      <x:c r="AA9" s="45" t="str"/>
      <x:c r="AB9" s="46" t="n">
        <x:f>IF(LEN(U9)&gt;0,1,0)</x:f>
        <x:v>1</x:v>
      </x:c>
    </x:row>
    <x:row r="10">
      <x:c r="A10" s="44" t="n">
        <x:v>1</x:v>
      </x:c>
      <x:c r="B10" s="44" t="str">
        <x:v>1 – Sonderfall</x:v>
      </x:c>
      <x:c r="C10" s="47" t="str">
        <x:v>1059</x:v>
      </x:c>
      <x:c r="D10" s="46" t="str">
        <x:v>Dr. Anja Oelke</x:v>
      </x:c>
      <x:c r="E10" s="46" t="str"/>
      <x:c r="F10" s="46" t="str">
        <x:v>www.anvayapraxis.com.de</x:v>
      </x:c>
      <x:c r="G10" s="46" t="str">
        <x:v>DE</x:v>
      </x:c>
      <x:c r="H10" s="48" t="str">
        <x:v>06108</x:v>
      </x:c>
      <x:c r="I10" s="46" t="str">
        <x:v>DE</x:v>
      </x:c>
      <x:c r="J10" s="48" t="str">
        <x:v>06114</x:v>
      </x:c>
      <x:c r="K10" s="46" t="str">
        <x:v>Halle</x:v>
      </x:c>
      <x:c r="L10" s="46" t="str">
        <x:v>Adolf-von-Harnack-Straße</x:v>
      </x:c>
      <x:c r="M10" s="46" t="str">
        <x:v>13</x:v>
      </x:c>
      <x:c r="N10" s="46" t="str">
        <x:v>Adolf-von-Harnack-Straße 13, 06114 Halle, DE</x:v>
      </x:c>
      <x:c r="O10" s="46" t="str">
        <x:v>no</x:v>
      </x:c>
      <x:c r="P10" s="46" t="str">
        <x:v>manual_research_required</x:v>
      </x:c>
      <x:c r="Q10" s="46" t="str">
        <x:v>low</x:v>
      </x:c>
      <x:c r="R10" s="46" t="str"/>
      <x:c r="S10" s="46" t="str">
        <x:v>no</x:v>
      </x:c>
      <x:c r="T10" s="46" t="str"/>
      <x:c r="U10" s="46" t="str"/>
      <x:c r="V10" s="46" t="str"/>
      <x:c r="W10" s="46" t="str">
        <x:v>Die vorhandene PLZ 06108 gehört zu einem älteren Treffer Kleine Ulrichstraße 20; aktuelle Profile nennen Adolf-von-Harnack-Straße 13, 06114 Halle. Standortwechsel manuell klären.</x:v>
      </x:c>
      <x:c r="X10" s="46" t="str">
        <x:v>Konsolidierte Ergänzung unterstützt Adolf-von-Harnack-Straße 13, 06114 Halle als aktuellen Standort; ältere 06108-Adresse nicht automatisch übernehmen.</x:v>
      </x:c>
      <x:c r="Y10" s="46" t="str">
        <x:v>yes</x:v>
      </x:c>
      <x:c r="Z10" s="45" t="str">
        <x:v>offen</x:v>
      </x:c>
      <x:c r="AA10" s="45" t="str"/>
      <x:c r="AB10" s="46" t="n">
        <x:f>IF(LEN(U10)&gt;0,1,0)</x:f>
        <x:v>0</x:v>
      </x:c>
    </x:row>
    <x:row r="11">
      <x:c r="A11" s="44" t="n">
        <x:v>1</x:v>
      </x:c>
      <x:c r="B11" s="44" t="str">
        <x:v>1 – Sonderfall</x:v>
      </x:c>
      <x:c r="C11" s="47" t="str">
        <x:v>1060</x:v>
      </x:c>
      <x:c r="D11" s="46" t="str">
        <x:v>Dr. Ralf Heinrich</x:v>
      </x:c>
      <x:c r="E11" s="46" t="str"/>
      <x:c r="F11" s="46" t="str">
        <x:v>theraklinik.de</x:v>
      </x:c>
      <x:c r="G11" s="46" t="str">
        <x:v>DE</x:v>
      </x:c>
      <x:c r="H11" s="48" t="str">
        <x:v>10719</x:v>
      </x:c>
      <x:c r="I11" s="46" t="str">
        <x:v>DE</x:v>
      </x:c>
      <x:c r="J11" s="48" t="str">
        <x:v>10629</x:v>
      </x:c>
      <x:c r="K11" s="46" t="str">
        <x:v>Berlin</x:v>
      </x:c>
      <x:c r="L11" s="46" t="str">
        <x:v>Mommsenstraße</x:v>
      </x:c>
      <x:c r="M11" s="46" t="str">
        <x:v>57</x:v>
      </x:c>
      <x:c r="N11" s="46" t="str">
        <x:v>Mommsenstraße 57, 10629 Berlin, DE</x:v>
      </x:c>
      <x:c r="O11" s="46" t="str">
        <x:v>no</x:v>
      </x:c>
      <x:c r="P11" s="46" t="str">
        <x:v>manual_research_required</x:v>
      </x:c>
      <x:c r="Q11" s="46" t="str">
        <x:v>low</x:v>
      </x:c>
      <x:c r="R11" s="46" t="str"/>
      <x:c r="S11" s="46" t="str">
        <x:v>no</x:v>
      </x:c>
      <x:c r="T11" s="46" t="str"/>
      <x:c r="U11" s="46" t="str"/>
      <x:c r="V11" s="46" t="str">
        <x:v>https://theraklinik.de/</x:v>
      </x:c>
      <x:c r="W11" s="46" t="str">
        <x:v>Aktuelle Treffer nennen THERA Praxisklinik, Mommsenstraße 57, 10629 Berlin. Ein anderer Verzeichnistreffer führt dieselbe Straße fälschlich unter 10719; PLZ-Konflikt bleibt manuell zu klären.</x:v>
      </x:c>
      <x:c r="X11" s="46" t="str">
        <x:v>Konsolidierte Ergänzung unterstützt Mommsenstraße 57, 10629 Berlin; vorhandene PLZ 10719 bleibt als Konflikt markiert.</x:v>
      </x:c>
      <x:c r="Y11" s="46" t="str">
        <x:v>yes</x:v>
      </x:c>
      <x:c r="Z11" s="45" t="str">
        <x:v>offen</x:v>
      </x:c>
      <x:c r="AA11" s="45" t="str"/>
      <x:c r="AB11" s="46" t="n">
        <x:f>IF(LEN(U11)&gt;0,1,0)</x:f>
        <x:v>0</x:v>
      </x:c>
    </x:row>
    <x:row r="12">
      <x:c r="A12" s="44" t="n">
        <x:v>1</x:v>
      </x:c>
      <x:c r="B12" s="44" t="str">
        <x:v>1 – Sonderfall</x:v>
      </x:c>
      <x:c r="C12" s="47" t="str">
        <x:v>1066</x:v>
      </x:c>
      <x:c r="D12" s="46" t="str">
        <x:v>Dr. Bodo Kuklinski</x:v>
      </x:c>
      <x:c r="E12" s="46" t="str"/>
      <x:c r="F12" s="46" t="str">
        <x:v>www.dr-kuklinski.info</x:v>
      </x:c>
      <x:c r="G12" s="46" t="str">
        <x:v>DE</x:v>
      </x:c>
      <x:c r="H12" s="48" t="str">
        <x:v>18055</x:v>
      </x:c>
      <x:c r="I12" s="46" t="str">
        <x:v>DE</x:v>
      </x:c>
      <x:c r="J12" s="48" t="str">
        <x:v>18055</x:v>
      </x:c>
      <x:c r="K12" s="46" t="str">
        <x:v>Rostock</x:v>
      </x:c>
      <x:c r="L12" s="46" t="str">
        <x:v>Wielandstraße</x:v>
      </x:c>
      <x:c r="M12" s="46" t="str">
        <x:v>7</x:v>
      </x:c>
      <x:c r="N12" s="46" t="str">
        <x:v>Wielandstraße 7, 18055 Rostock, DE</x:v>
      </x:c>
      <x:c r="O12" s="46" t="str">
        <x:v>yes</x:v>
      </x:c>
      <x:c r="P12" s="46" t="str">
        <x:v>manual_research_required</x:v>
      </x:c>
      <x:c r="Q12" s="46" t="str">
        <x:v>high</x:v>
      </x:c>
      <x:c r="R12" s="46" t="str">
        <x:v>closed</x:v>
      </x:c>
      <x:c r="S12" s="46" t="str">
        <x:v>no</x:v>
      </x:c>
      <x:c r="T12" s="46" t="str"/>
      <x:c r="U12" s="46" t="str"/>
      <x:c r="V12" s="46" t="str">
        <x:v>https://staging.mse-pharma.de/therapeut/doz-dr-sc-med-bodo-kuklinski/</x:v>
      </x:c>
      <x:c r="W12" s="46" t="str">
        <x:v>Mehrere Suchtreffer nennen Dr. Bodo Kuklinski, Wielandstraße 7, 18055 Rostock; keine aktuelle offizielle Kontaktseite erreichbar.</x:v>
      </x:c>
      <x:c r="X12" s="46" t="str">
        <x:v>Offizielle Website: Ordination seit 01.03.2024 geschlossen. Wielandstraße 7 nur als historischer Standort behandeln; nicht als aktive Praxis importieren.</x:v>
      </x:c>
      <x:c r="Y12" s="46" t="str">
        <x:v>yes</x:v>
      </x:c>
      <x:c r="Z12" s="45" t="str">
        <x:v>offen</x:v>
      </x:c>
      <x:c r="AA12" s="45" t="str"/>
      <x:c r="AB12" s="46" t="n">
        <x:f>IF(LEN(U12)&gt;0,1,0)</x:f>
        <x:v>0</x:v>
      </x:c>
    </x:row>
    <x:row r="13">
      <x:c r="A13" s="44" t="n">
        <x:v>1</x:v>
      </x:c>
      <x:c r="B13" s="44" t="str">
        <x:v>1 – Sonderfall</x:v>
      </x:c>
      <x:c r="C13" s="47" t="str">
        <x:v>1084</x:v>
      </x:c>
      <x:c r="D13" s="46" t="str">
        <x:v>Annette Gude</x:v>
      </x:c>
      <x:c r="E13" s="46" t="str"/>
      <x:c r="F13" s="46" t="str">
        <x:v>www.heilpraktiker-tcm-koeln.de</x:v>
      </x:c>
      <x:c r="G13" s="46" t="str">
        <x:v>DE</x:v>
      </x:c>
      <x:c r="H13" s="48" t="str">
        <x:v>50933</x:v>
      </x:c>
      <x:c r="I13" s="46" t="str">
        <x:v>DE</x:v>
      </x:c>
      <x:c r="J13" s="48" t="str">
        <x:v>50933</x:v>
      </x:c>
      <x:c r="K13" s="46" t="str">
        <x:v>Köln</x:v>
      </x:c>
      <x:c r="L13" s="46" t="str">
        <x:v>Hermann-Pflaume-Straße</x:v>
      </x:c>
      <x:c r="M13" s="46" t="str">
        <x:v>16</x:v>
      </x:c>
      <x:c r="N13" s="46" t="str">
        <x:v>Hermann-Pflaume-Straße 16, 50933 Köln, DE</x:v>
      </x:c>
      <x:c r="O13" s="46" t="str">
        <x:v>yes</x:v>
      </x:c>
      <x:c r="P13" s="46" t="str">
        <x:v>manual_research_required</x:v>
      </x:c>
      <x:c r="Q13" s="46" t="str">
        <x:v>high</x:v>
      </x:c>
      <x:c r="R13" s="46" t="str">
        <x:v>closed</x:v>
      </x:c>
      <x:c r="S13" s="46" t="str">
        <x:v>no</x:v>
      </x:c>
      <x:c r="T13" s="46" t="str"/>
      <x:c r="U13" s="46" t="str"/>
      <x:c r="V13" s="46" t="str">
        <x:v>https://hormonselbsthilfe.de/fachkraftfinden/profil/annette-gude-heilpraktikerin</x:v>
      </x:c>
      <x:c r="W13" s="46" t="str">
        <x:v>Mehrere manuell geprüfte Treffer nennen Annette Gude, Hermann-Pflaume-Straße 16, 50933 Köln.</x:v>
      </x:c>
      <x:c r="X13" s="46" t="str">
        <x:v>Offizielle Website meldet die Praxis dauerhaft geschlossen. Hermann-Pflaume-Straße 16 ist als letzter belegter Standort geführt; Aachener Straße 456 aus externer Liste nicht aktuell bestätigt.</x:v>
      </x:c>
      <x:c r="Y13" s="46" t="str">
        <x:v>yes</x:v>
      </x:c>
      <x:c r="Z13" s="45" t="str">
        <x:v>offen</x:v>
      </x:c>
      <x:c r="AA13" s="45" t="str"/>
      <x:c r="AB13" s="46" t="n">
        <x:f>IF(LEN(U13)&gt;0,1,0)</x:f>
        <x:v>0</x:v>
      </x:c>
    </x:row>
    <x:row r="14">
      <x:c r="A14" s="44" t="n">
        <x:v>1</x:v>
      </x:c>
      <x:c r="B14" s="44" t="str">
        <x:v>1 – Sonderfall</x:v>
      </x:c>
      <x:c r="C14" s="47" t="str">
        <x:v>1090</x:v>
      </x:c>
      <x:c r="D14" s="46" t="str">
        <x:v>Dr. Harald Heiskel</x:v>
      </x:c>
      <x:c r="E14" s="46" t="str"/>
      <x:c r="F14" s="46" t="str">
        <x:v>www.praxisgemeinschaft-waldschmidtstrasse.de</x:v>
      </x:c>
      <x:c r="G14" s="46" t="str">
        <x:v>DE</x:v>
      </x:c>
      <x:c r="H14" s="48" t="str">
        <x:v>60313</x:v>
      </x:c>
      <x:c r="I14" s="46" t="str">
        <x:v>DE</x:v>
      </x:c>
      <x:c r="J14" s="48" t="str">
        <x:v>60316</x:v>
      </x:c>
      <x:c r="K14" s="46" t="str">
        <x:v>Frankfurt am Main</x:v>
      </x:c>
      <x:c r="L14" s="46" t="str">
        <x:v>Waldschmidtstraße</x:v>
      </x:c>
      <x:c r="M14" s="46" t="str">
        <x:v>26</x:v>
      </x:c>
      <x:c r="N14" s="46" t="str">
        <x:v>Waldschmidtstraße 26, 60316 Frankfurt am Main, DE</x:v>
      </x:c>
      <x:c r="O14" s="46" t="str">
        <x:v>no</x:v>
      </x:c>
      <x:c r="P14" s="46" t="str">
        <x:v>manual_research_required</x:v>
      </x:c>
      <x:c r="Q14" s="46" t="str">
        <x:v>low</x:v>
      </x:c>
      <x:c r="R14" s="46" t="str"/>
      <x:c r="S14" s="46" t="str">
        <x:v>no</x:v>
      </x:c>
      <x:c r="T14" s="46" t="str"/>
      <x:c r="U14" s="46" t="str"/>
      <x:c r="V14" s="46" t="str"/>
      <x:c r="W14" s="46" t="str">
        <x:v>Aktuelle Praxisgemeinschaft nennt Waldschmidtstraße 26, 60316 Frankfurt; vorhandene PLZ 60313 stimmt nicht überein.</x:v>
      </x:c>
      <x:c r="X14" s="46" t="str">
        <x:v>Konsolidierte Ergänzung unterstützt Waldschmidtstraße 26, 60316 Frankfurt; vorhandene PLZ 60313 ist veraltet.</x:v>
      </x:c>
      <x:c r="Y14" s="46" t="str">
        <x:v>yes</x:v>
      </x:c>
      <x:c r="Z14" s="45" t="str">
        <x:v>offen</x:v>
      </x:c>
      <x:c r="AA14" s="45" t="str"/>
      <x:c r="AB14" s="46" t="n">
        <x:f>IF(LEN(U14)&gt;0,1,0)</x:f>
        <x:v>0</x:v>
      </x:c>
    </x:row>
    <x:row r="15">
      <x:c r="A15" s="44" t="n">
        <x:v>1</x:v>
      </x:c>
      <x:c r="B15" s="44" t="str">
        <x:v>1 – Sonderfall</x:v>
      </x:c>
      <x:c r="C15" s="47" t="str">
        <x:v>1101</x:v>
      </x:c>
      <x:c r="D15" s="46" t="str">
        <x:v>Dr. Sven-Eric Paluch</x:v>
      </x:c>
      <x:c r="E15" s="46" t="str"/>
      <x:c r="F15" s="46" t="str">
        <x:v>www.neumann-paluch.de</x:v>
      </x:c>
      <x:c r="G15" s="46" t="str">
        <x:v>DE</x:v>
      </x:c>
      <x:c r="H15" s="48" t="str">
        <x:v>70374</x:v>
      </x:c>
      <x:c r="I15" s="46" t="str">
        <x:v>DE</x:v>
      </x:c>
      <x:c r="J15" s="48" t="str">
        <x:v>70734</x:v>
      </x:c>
      <x:c r="K15" s="46" t="str">
        <x:v>Fellbach</x:v>
      </x:c>
      <x:c r="L15" s="46" t="str">
        <x:v>Hintere Straße</x:v>
      </x:c>
      <x:c r="M15" s="46" t="str">
        <x:v>29</x:v>
      </x:c>
      <x:c r="N15" s="46" t="str">
        <x:v>Hintere Straße 29, 70734 Fellbach, DE</x:v>
      </x:c>
      <x:c r="O15" s="46" t="str">
        <x:v>no</x:v>
      </x:c>
      <x:c r="P15" s="46" t="str">
        <x:v>manual_research_required</x:v>
      </x:c>
      <x:c r="Q15" s="46" t="str">
        <x:v>low</x:v>
      </x:c>
      <x:c r="R15" s="46" t="str"/>
      <x:c r="S15" s="46" t="str">
        <x:v>no</x:v>
      </x:c>
      <x:c r="T15" s="46" t="str"/>
      <x:c r="U15" s="46" t="str"/>
      <x:c r="V15" s="46" t="str"/>
      <x:c r="W15" s="46" t="str">
        <x:v>Aktuelle Treffer nennen Dr. Sven-Eric Paluch, Hintere Straße 29, 70734 Fellbach; vorhandene PLZ 70374 stimmt nicht überein.</x:v>
      </x:c>
      <x:c r="X15" s="46" t="str">
        <x:v>Konsolidierte Ergänzung unterstützt Hintere Straße 29, 70734 Fellbach; vorhandene PLZ 70374 und Website sind vermutlich veraltet.</x:v>
      </x:c>
      <x:c r="Y15" s="46" t="str">
        <x:v>yes</x:v>
      </x:c>
      <x:c r="Z15" s="45" t="str">
        <x:v>offen</x:v>
      </x:c>
      <x:c r="AA15" s="45" t="str"/>
      <x:c r="AB15" s="46" t="n">
        <x:f>IF(LEN(U15)&gt;0,1,0)</x:f>
        <x:v>0</x:v>
      </x:c>
    </x:row>
    <x:row r="16">
      <x:c r="A16" s="44" t="n">
        <x:v>1</x:v>
      </x:c>
      <x:c r="B16" s="44" t="str">
        <x:v>1 – Sonderfall</x:v>
      </x:c>
      <x:c r="C16" s="47" t="str">
        <x:v>1112</x:v>
      </x:c>
      <x:c r="D16" s="46" t="str">
        <x:v>Dr. Sophia Wachner</x:v>
      </x:c>
      <x:c r="E16" s="46" t="str"/>
      <x:c r="F16" s="46" t="str">
        <x:v>www.sophiawachner.de</x:v>
      </x:c>
      <x:c r="G16" s="46" t="str">
        <x:v>DE</x:v>
      </x:c>
      <x:c r="H16" s="48" t="str">
        <x:v>80637</x:v>
      </x:c>
      <x:c r="I16" s="46" t="str">
        <x:v>DE</x:v>
      </x:c>
      <x:c r="J16" s="48" t="str">
        <x:v>80634</x:v>
      </x:c>
      <x:c r="K16" s="46" t="str">
        <x:v>München</x:v>
      </x:c>
      <x:c r="L16" s="46" t="str">
        <x:v>Volkartstraße</x:v>
      </x:c>
      <x:c r="M16" s="46" t="str">
        <x:v>5</x:v>
      </x:c>
      <x:c r="N16" s="46" t="str">
        <x:v>Volkartstraße 5, 80634 München, DE</x:v>
      </x:c>
      <x:c r="O16" s="46" t="str">
        <x:v>no</x:v>
      </x:c>
      <x:c r="P16" s="46" t="str">
        <x:v>manual_research_required</x:v>
      </x:c>
      <x:c r="Q16" s="46" t="str">
        <x:v>low</x:v>
      </x:c>
      <x:c r="R16" s="46" t="str"/>
      <x:c r="S16" s="46" t="str">
        <x:v>no</x:v>
      </x:c>
      <x:c r="T16" s="46" t="str"/>
      <x:c r="U16" s="46" t="str"/>
      <x:c r="V16" s="46" t="str">
        <x:v>https://zentrum-funktionelle-medizin.de/impressum/</x:v>
      </x:c>
      <x:c r="W16" s="46" t="str">
        <x:v>Aktuelle offizielle Standortseite nennt Volkartstraße 5, 80634 München; vorhandene PLZ 80637 und zuvor gefundene Waisenhausstraße 52a sind nicht aktuell eindeutig.</x:v>
      </x:c>
      <x:c r="X16" s="46" t="str">
        <x:v>Aktuelle offizielle Standortseite nennt Volkartstraße 5, 80634 München; vorhandene PLZ 80637 ist veraltet.</x:v>
      </x:c>
      <x:c r="Y16" s="46" t="str">
        <x:v>yes</x:v>
      </x:c>
      <x:c r="Z16" s="45" t="str">
        <x:v>offen</x:v>
      </x:c>
      <x:c r="AA16" s="45" t="str"/>
      <x:c r="AB16" s="46" t="n">
        <x:f>IF(LEN(U16)&gt;0,1,0)</x:f>
        <x:v>0</x:v>
      </x:c>
    </x:row>
    <x:row r="17">
      <x:c r="A17" s="44" t="n">
        <x:v>1</x:v>
      </x:c>
      <x:c r="B17" s="44" t="str">
        <x:v>1 – Sonderfall</x:v>
      </x:c>
      <x:c r="C17" s="47" t="str">
        <x:v>1126</x:v>
      </x:c>
      <x:c r="D17" s="46" t="str">
        <x:v>Schnakenberg / IPGD</x:v>
      </x:c>
      <x:c r="E17" s="46" t="str">
        <x:v>Schnakenberg / IPGD</x:v>
      </x:c>
      <x:c r="F17" s="46" t="str">
        <x:v>ipgd-labore.de</x:v>
      </x:c>
      <x:c r="G17" s="46" t="str">
        <x:v>DE</x:v>
      </x:c>
      <x:c r="H17" s="48" t="str">
        <x:v>20095</x:v>
      </x:c>
      <x:c r="I17" s="46" t="str">
        <x:v>DE</x:v>
      </x:c>
      <x:c r="J17" s="48" t="str">
        <x:v>30853</x:v>
      </x:c>
      <x:c r="K17" s="46" t="str">
        <x:v>Langenhagen</x:v>
      </x:c>
      <x:c r="L17" s="46" t="str">
        <x:v>Ostpassage</x:v>
      </x:c>
      <x:c r="M17" s="46" t="str">
        <x:v>9</x:v>
      </x:c>
      <x:c r="N17" s="46" t="str">
        <x:v>Ostpassage 9, 30853 Langenhagen, DE</x:v>
      </x:c>
      <x:c r="O17" s="46" t="str">
        <x:v>no</x:v>
      </x:c>
      <x:c r="P17" s="46" t="str">
        <x:v>manual_research_required</x:v>
      </x:c>
      <x:c r="Q17" s="46" t="str">
        <x:v>low</x:v>
      </x:c>
      <x:c r="R17" s="46" t="str"/>
      <x:c r="S17" s="46" t="str">
        <x:v>yes</x:v>
      </x:c>
      <x:c r="T17" s="46" t="str">
        <x:v>Hermann-Ehlers-Straße 9, 31224 Peine, DE | Bergstraße 14, 20095 Hamburg, DE (mögliche Sprechstunde, unbestätigt)</x:v>
      </x:c>
      <x:c r="U17" s="46" t="str">
        <x:v>Unklar, ob Datensatz Person, Institut oder Hamburger Sprechstunde bezeichnet.</x:v>
      </x:c>
      <x:c r="V17" s="46" t="str"/>
      <x:c r="W17" s="46" t="str">
        <x:v>Aktuelle IPgD-Präsenz nennt Ostpassage 9, 30853 Langenhagen; vorhandene PLZ 20095 stimmt nicht überein.</x:v>
      </x:c>
      <x:c r="X17" s="46" t="str">
        <x:v>Standortstruktur widersprüchlich: aktuell belegtes IPgD in Langenhagen, zusätzlich Peine und möglicherweise Hamburg. Kein automatischer Standortwechsel.</x:v>
      </x:c>
      <x:c r="Y17" s="46" t="str">
        <x:v>yes</x:v>
      </x:c>
      <x:c r="Z17" s="45" t="str">
        <x:v>offen</x:v>
      </x:c>
      <x:c r="AA17" s="45" t="str"/>
      <x:c r="AB17" s="46" t="n">
        <x:f>IF(LEN(U17)&gt;0,1,0)</x:f>
        <x:v>1</x:v>
      </x:c>
    </x:row>
    <x:row r="18">
      <x:c r="A18" s="44" t="n">
        <x:v>1</x:v>
      </x:c>
      <x:c r="B18" s="44" t="str">
        <x:v>1 – Sonderfall</x:v>
      </x:c>
      <x:c r="C18" s="47" t="str">
        <x:v>1131</x:v>
      </x:c>
      <x:c r="D18" s="46" t="str">
        <x:v>Habichtswaldklinik</x:v>
      </x:c>
      <x:c r="E18" s="46" t="str">
        <x:v>Habichtswaldklinik</x:v>
      </x:c>
      <x:c r="F18" s="46" t="str">
        <x:v>habichtswaldklinik.de</x:v>
      </x:c>
      <x:c r="G18" s="46" t="str">
        <x:v>DE</x:v>
      </x:c>
      <x:c r="H18" s="48" t="str">
        <x:v>34134</x:v>
      </x:c>
      <x:c r="I18" s="46" t="str">
        <x:v>DE</x:v>
      </x:c>
      <x:c r="J18" s="48" t="str">
        <x:v>34131</x:v>
      </x:c>
      <x:c r="K18" s="46" t="str">
        <x:v>Kassel</x:v>
      </x:c>
      <x:c r="L18" s="46" t="str">
        <x:v>Wigandstraße</x:v>
      </x:c>
      <x:c r="M18" s="46" t="str">
        <x:v>1</x:v>
      </x:c>
      <x:c r="N18" s="46" t="str">
        <x:v>Wigandstraße 1, 34131 Kassel, DE</x:v>
      </x:c>
      <x:c r="O18" s="46" t="str">
        <x:v>no</x:v>
      </x:c>
      <x:c r="P18" s="46" t="str">
        <x:v>manual_research_required</x:v>
      </x:c>
      <x:c r="Q18" s="46" t="str">
        <x:v>low</x:v>
      </x:c>
      <x:c r="R18" s="46" t="str">
        <x:v>active</x:v>
      </x:c>
      <x:c r="S18" s="46" t="str">
        <x:v>no</x:v>
      </x:c>
      <x:c r="T18" s="46" t="str"/>
      <x:c r="U18" s="46" t="str"/>
      <x:c r="V18" s="46" t="str"/>
      <x:c r="W18" s="46" t="str">
        <x:v>Aktuelle Habichtswald-Klinik nennt Wigandstraße 1, 34131 Kassel; vorhandene PLZ 34134 stimmt nicht überein.</x:v>
      </x:c>
      <x:c r="X18" s="46" t="str">
        <x:v>Aktueller Name Habichtswald Privat-Klinik; Wigandstraße 1, 34131 Kassel. Vorhandene PLZ 34134 ist veraltet.</x:v>
      </x:c>
      <x:c r="Y18" s="46" t="str">
        <x:v>yes</x:v>
      </x:c>
      <x:c r="Z18" s="45" t="str">
        <x:v>offen</x:v>
      </x:c>
      <x:c r="AA18" s="45" t="str"/>
      <x:c r="AB18" s="46" t="n">
        <x:f>IF(LEN(U18)&gt;0,1,0)</x:f>
        <x:v>0</x:v>
      </x:c>
    </x:row>
    <x:row r="19">
      <x:c r="A19" s="44" t="n">
        <x:v>1</x:v>
      </x:c>
      <x:c r="B19" s="44" t="str">
        <x:v>1 – Sonderfall</x:v>
      </x:c>
      <x:c r="C19" s="47" t="str">
        <x:v>1087</x:v>
      </x:c>
      <x:c r="D19" s="46" t="str">
        <x:v>Dr. Reinhard Müller-Schmidt</x:v>
      </x:c>
      <x:c r="E19" s="46" t="str"/>
      <x:c r="F19" s="46" t="str">
        <x:v>www.praxis-im-kurpark.com</x:v>
      </x:c>
      <x:c r="G19" s="46" t="str">
        <x:v>DE</x:v>
      </x:c>
      <x:c r="H19" s="48" t="str">
        <x:v>53604</x:v>
      </x:c>
      <x:c r="I19" s="46" t="str">
        <x:v>DE</x:v>
      </x:c>
      <x:c r="J19" s="48" t="str">
        <x:v>53604</x:v>
      </x:c>
      <x:c r="K19" s="46" t="str">
        <x:v>Bad Honnef</x:v>
      </x:c>
      <x:c r="L19" s="46" t="str">
        <x:v>Luisenstraße</x:v>
      </x:c>
      <x:c r="M19" s="46" t="str">
        <x:v>16</x:v>
      </x:c>
      <x:c r="N19" s="46" t="str">
        <x:v>Luisenstraße 16, 53604 Bad Honnef</x:v>
      </x:c>
      <x:c r="O19" s="46" t="str">
        <x:v>yes</x:v>
      </x:c>
      <x:c r="P19" s="46" t="str">
        <x:v>probable</x:v>
      </x:c>
      <x:c r="Q19" s="46" t="str">
        <x:v>high</x:v>
      </x:c>
      <x:c r="R19" s="46" t="str"/>
      <x:c r="S19" s="46" t="str">
        <x:v>no</x:v>
      </x:c>
      <x:c r="T19" s="46" t="str"/>
      <x:c r="U19" s="46" t="str">
        <x:v>Datensatz vermutlich Vermischung aus Irmine Müller-Schmidt und Dr. Reinhard Schmidt.</x:v>
      </x:c>
      <x:c r="V19" s="46" t="str">
        <x:v>https://www.praxis-im-kurpark.com/home</x:v>
      </x:c>
      <x:c r="W19" s="46" t="str">
        <x:v>Manuell im Browser zusätzlich über Praxisdomain, Name, PLZ und konkrete Anschrift gegengeprüft. visible page text near matching postal code; checked 4 page(s)</x:v>
      </x:c>
      <x:c r="X19" s="46" t="str">
        <x:v>Adresse der Praxis bestätigt, Personenidentität vor Übernahme klären.</x:v>
      </x:c>
      <x:c r="Y19" s="46" t="str">
        <x:v>yes</x:v>
      </x:c>
      <x:c r="Z19" s="45" t="str">
        <x:v>offen</x:v>
      </x:c>
      <x:c r="AA19" s="45" t="str"/>
      <x:c r="AB19" s="46" t="n">
        <x:f>IF(LEN(U19)&gt;0,1,0)</x:f>
        <x:v>1</x:v>
      </x:c>
    </x:row>
    <x:row r="20">
      <x:c r="A20" s="44" t="n">
        <x:v>1</x:v>
      </x:c>
      <x:c r="B20" s="44" t="str">
        <x:v>1 – Sonderfall</x:v>
      </x:c>
      <x:c r="C20" s="47" t="str">
        <x:v>1088</x:v>
      </x:c>
      <x:c r="D20" s="46" t="str">
        <x:v>Dr. Hamid Kermadi</x:v>
      </x:c>
      <x:c r="E20" s="46" t="str"/>
      <x:c r="F20" s="46" t="str">
        <x:v>kermani-james.de</x:v>
      </x:c>
      <x:c r="G20" s="46" t="str">
        <x:v>DE</x:v>
      </x:c>
      <x:c r="H20" s="48" t="str">
        <x:v>57234</x:v>
      </x:c>
      <x:c r="I20" s="46" t="str">
        <x:v>DE</x:v>
      </x:c>
      <x:c r="J20" s="48" t="str">
        <x:v>57234</x:v>
      </x:c>
      <x:c r="K20" s="46" t="str">
        <x:v>Wilnsdorf</x:v>
      </x:c>
      <x:c r="L20" s="46" t="str">
        <x:v>Am Haardtchen</x:v>
      </x:c>
      <x:c r="M20" s="46" t="str">
        <x:v>8a</x:v>
      </x:c>
      <x:c r="N20" s="46" t="str">
        <x:v>Am Haardtchen 8a, 57234 Wilnsdorf</x:v>
      </x:c>
      <x:c r="O20" s="46" t="str">
        <x:v>yes</x:v>
      </x:c>
      <x:c r="P20" s="46" t="str">
        <x:v>probable</x:v>
      </x:c>
      <x:c r="Q20" s="46" t="str">
        <x:v>high</x:v>
      </x:c>
      <x:c r="R20" s="46" t="str"/>
      <x:c r="S20" s="46" t="str">
        <x:v>yes</x:v>
      </x:c>
      <x:c r="T20" s="46" t="str">
        <x:v>Burgweg 23, 57299 Burbach, DE</x:v>
      </x:c>
      <x:c r="U20" s="46" t="str">
        <x:v>Nachname im Datensatz vermutlich Kermadi statt Kermani; Personenzuordnung prüfen.</x:v>
      </x:c>
      <x:c r="V20" s="46" t="str">
        <x:v>https://kermani-james.de/</x:v>
      </x:c>
      <x:c r="W20" s="46" t="str">
        <x:v>Manuell im Browser zusätzlich über Praxisdomain, Name, PLZ und konkrete Anschrift gegengeprüft. visible page text near matching postal code; checked 5 page(s)</x:v>
      </x:c>
      <x:c r="X20" s="46" t="str">
        <x:v>Zweiter Standort und abweichende Namensschreibweise aus konsolidierter Ergänzung; vor Datenbankübernahme separat bestätigen.</x:v>
      </x:c>
      <x:c r="Y20" s="46" t="str">
        <x:v>yes</x:v>
      </x:c>
      <x:c r="Z20" s="45" t="str">
        <x:v>offen</x:v>
      </x:c>
      <x:c r="AA20" s="45" t="str"/>
      <x:c r="AB20" s="46" t="n">
        <x:f>IF(LEN(U20)&gt;0,1,0)</x:f>
        <x:v>1</x:v>
      </x:c>
    </x:row>
    <x:row r="21">
      <x:c r="A21" s="44" t="n">
        <x:v>1</x:v>
      </x:c>
      <x:c r="B21" s="44" t="str">
        <x:v>1 – Sonderfall</x:v>
      </x:c>
      <x:c r="C21" s="47" t="str">
        <x:v>1127</x:v>
      </x:c>
      <x:c r="D21" s="46" t="str">
        <x:v>Dr. Bückendorf</x:v>
      </x:c>
      <x:c r="E21" s="46" t="str"/>
      <x:c r="F21" s="46" t="str">
        <x:v>www.praxis-bueckendorf.de</x:v>
      </x:c>
      <x:c r="G21" s="46" t="str">
        <x:v>DE</x:v>
      </x:c>
      <x:c r="H21" s="48" t="str">
        <x:v>24113</x:v>
      </x:c>
      <x:c r="I21" s="46" t="str">
        <x:v>DE</x:v>
      </x:c>
      <x:c r="J21" s="48" t="str">
        <x:v>24113</x:v>
      </x:c>
      <x:c r="K21" s="46" t="str">
        <x:v>Kiel</x:v>
      </x:c>
      <x:c r="L21" s="46" t="str">
        <x:v>Wulfsbrook</x:v>
      </x:c>
      <x:c r="M21" s="46" t="str">
        <x:v>2</x:v>
      </x:c>
      <x:c r="N21" s="46" t="str">
        <x:v>Wulfsbrook 2, 24113 Kiel, DE</x:v>
      </x:c>
      <x:c r="O21" s="46" t="str">
        <x:v>yes</x:v>
      </x:c>
      <x:c r="P21" s="46" t="str">
        <x:v>probable</x:v>
      </x:c>
      <x:c r="Q21" s="46" t="str">
        <x:v>high</x:v>
      </x:c>
      <x:c r="R21" s="46" t="str"/>
      <x:c r="S21" s="46" t="str">
        <x:v>no</x:v>
      </x:c>
      <x:c r="T21" s="46" t="str"/>
      <x:c r="U21" s="46" t="str">
        <x:v>Mögliche Dublette zu dr_id 549 Dr. Claus-Hermann Bückendorf.</x:v>
      </x:c>
      <x:c r="V21" s="46" t="str">
        <x:v>https://praxis-wulfsbrook2.de/</x:v>
      </x:c>
      <x:c r="W21" s="46" t="str">
        <x:v>Aktuelle Praxiswebsite und Unternehmensprofil nennen Praxis Dr. Bückendorf, Wulfsbrook 2, 24113 Kiel.</x:v>
      </x:c>
      <x:c r="X21" s="46" t="str">
        <x:v>Adresse bestätigt; Dublettenprüfung vor Datenbankupdate erforderlich.</x:v>
      </x:c>
      <x:c r="Y21" s="46" t="str">
        <x:v>yes</x:v>
      </x:c>
      <x:c r="Z21" s="45" t="str">
        <x:v>offen</x:v>
      </x:c>
      <x:c r="AA21" s="45" t="str"/>
      <x:c r="AB21" s="46" t="n">
        <x:f>IF(LEN(U21)&gt;0,1,0)</x:f>
        <x:v>1</x:v>
      </x:c>
    </x:row>
    <x:row r="22">
      <x:c r="A22" s="44" t="n">
        <x:v>2</x:v>
      </x:c>
      <x:c r="B22" s="44" t="str">
        <x:v>2 – Offen</x:v>
      </x:c>
      <x:c r="C22" s="47" t="str">
        <x:v>1056</x:v>
      </x:c>
      <x:c r="D22" s="46" t="str">
        <x:v>Dr. Paolo Contin</x:v>
      </x:c>
      <x:c r="E22" s="46" t="str"/>
      <x:c r="F22" s="46" t="str">
        <x:v>www.contin.ch</x:v>
      </x:c>
      <x:c r="G22" s="46" t="str">
        <x:v>CH</x:v>
      </x:c>
      <x:c r="H22" s="48" t="str">
        <x:v>4102</x:v>
      </x:c>
      <x:c r="I22" s="46" t="str">
        <x:v>CH</x:v>
      </x:c>
      <x:c r="J22" s="48" t="str">
        <x:v>4102</x:v>
      </x:c>
      <x:c r="K22" s="46" t="str">
        <x:v>Binningen</x:v>
      </x:c>
      <x:c r="L22" s="46" t="str">
        <x:v>﻿Hauptstrasse</x:v>
      </x:c>
      <x:c r="M22" s="46" t="str">
        <x:v>90</x:v>
      </x:c>
      <x:c r="N22" s="46" t="str">
        <x:v>﻿Hauptstrasse 90, 4102 Binningen</x:v>
      </x:c>
      <x:c r="O22" s="46" t="str">
        <x:v>yes</x:v>
      </x:c>
      <x:c r="P22" s="46" t="str">
        <x:v>ambiguous</x:v>
      </x:c>
      <x:c r="Q22" s="46" t="str">
        <x:v>low</x:v>
      </x:c>
      <x:c r="R22" s="46" t="str"/>
      <x:c r="S22" s="46" t="str">
        <x:v>no</x:v>
      </x:c>
      <x:c r="T22" s="46" t="str"/>
      <x:c r="U22" s="46" t="str"/>
      <x:c r="V22" s="46" t="str">
        <x:v>https://www.contin.ch/</x:v>
      </x:c>
      <x:c r="W22" s="46" t="str">
        <x:v>Manuell im Browser zusätzlich über Praxisdomain, Name, PLZ und konkrete Anschrift gegengeprüft. visible page text near matching postal code; checked 4 page(s)</x:v>
      </x:c>
      <x:c r="X22" s="46" t="str"/>
      <x:c r="Y22" s="46" t="str">
        <x:v>yes</x:v>
      </x:c>
      <x:c r="Z22" s="45" t="str">
        <x:v>offen</x:v>
      </x:c>
      <x:c r="AA22" s="45" t="str"/>
      <x:c r="AB22" s="46" t="n">
        <x:f>IF(LEN(U22)&gt;0,1,0)</x:f>
        <x:v>0</x:v>
      </x:c>
    </x:row>
    <x:row r="23">
      <x:c r="A23" s="44" t="n">
        <x:v>2</x:v>
      </x:c>
      <x:c r="B23" s="44" t="str">
        <x:v>2 – Offen</x:v>
      </x:c>
      <x:c r="C23" s="47" t="str">
        <x:v>1071</x:v>
      </x:c>
      <x:c r="D23" s="46" t="str">
        <x:v>Dr. Sylke Schuster</x:v>
      </x:c>
      <x:c r="E23" s="46" t="str"/>
      <x:c r="F23" s="46" t="str">
        <x:v>www.praxis-osterstrasse.de</x:v>
      </x:c>
      <x:c r="G23" s="46" t="str">
        <x:v>DE</x:v>
      </x:c>
      <x:c r="H23" s="48" t="str">
        <x:v>26122</x:v>
      </x:c>
      <x:c r="I23" s="46" t="str">
        <x:v>DE</x:v>
      </x:c>
      <x:c r="J23" s="48" t="str">
        <x:v>26122</x:v>
      </x:c>
      <x:c r="K23" s="46" t="str">
        <x:v>Oldenburg</x:v>
      </x:c>
      <x:c r="L23" s="46" t="str">
        <x:v>Osterstraße</x:v>
      </x:c>
      <x:c r="M23" s="46" t="str">
        <x:v>8</x:v>
      </x:c>
      <x:c r="N23" s="46" t="str">
        <x:v>Osterstraße 8, 26122 Oldenburg</x:v>
      </x:c>
      <x:c r="O23" s="46" t="str">
        <x:v>yes</x:v>
      </x:c>
      <x:c r="P23" s="46" t="str">
        <x:v>ambiguous</x:v>
      </x:c>
      <x:c r="Q23" s="46" t="str">
        <x:v>low</x:v>
      </x:c>
      <x:c r="R23" s="46" t="str"/>
      <x:c r="S23" s="46" t="str">
        <x:v>no</x:v>
      </x:c>
      <x:c r="T23" s="46" t="str"/>
      <x:c r="U23" s="46" t="str"/>
      <x:c r="V23" s="46" t="str">
        <x:v>https://praxis-osterstrasse.de/</x:v>
      </x:c>
      <x:c r="W23" s="46" t="str">
        <x:v>Manuell im Browser zusätzlich über Praxisdomain, Name, PLZ und konkrete Anschrift gegengeprüft. visible page text near matching postal code; checked 5 page(s)</x:v>
      </x:c>
      <x:c r="X23" s="46" t="str"/>
      <x:c r="Y23" s="46" t="str">
        <x:v>yes</x:v>
      </x:c>
      <x:c r="Z23" s="45" t="str">
        <x:v>offen</x:v>
      </x:c>
      <x:c r="AA23" s="45" t="str"/>
      <x:c r="AB23" s="46" t="n">
        <x:f>IF(LEN(U23)&gt;0,1,0)</x:f>
        <x:v>0</x:v>
      </x:c>
    </x:row>
    <x:row r="24">
      <x:c r="A24" s="44" t="n">
        <x:v>2</x:v>
      </x:c>
      <x:c r="B24" s="44" t="str">
        <x:v>2 – Offen</x:v>
      </x:c>
      <x:c r="C24" s="47" t="str">
        <x:v>1089</x:v>
      </x:c>
      <x:c r="D24" s="46" t="str">
        <x:v>Carina Keil</x:v>
      </x:c>
      <x:c r="E24" s="46" t="str"/>
      <x:c r="F24" s="46" t="str">
        <x:v>heilpraktikerin-keil.de</x:v>
      </x:c>
      <x:c r="G24" s="46" t="str">
        <x:v>DE</x:v>
      </x:c>
      <x:c r="H24" s="48" t="str">
        <x:v>57482</x:v>
      </x:c>
      <x:c r="I24" s="46" t="str">
        <x:v>DE</x:v>
      </x:c>
      <x:c r="J24" s="48" t="str">
        <x:v>57482</x:v>
      </x:c>
      <x:c r="K24" s="46" t="str">
        <x:v>Wenden</x:v>
      </x:c>
      <x:c r="L24" s="46" t="str">
        <x:v>In der Heide</x:v>
      </x:c>
      <x:c r="M24" s="46" t="str">
        <x:v>26</x:v>
      </x:c>
      <x:c r="N24" s="46" t="str">
        <x:v>In der Heide 26, 57482 Wenden</x:v>
      </x:c>
      <x:c r="O24" s="46" t="str">
        <x:v>yes</x:v>
      </x:c>
      <x:c r="P24" s="46" t="str">
        <x:v>ambiguous</x:v>
      </x:c>
      <x:c r="Q24" s="46" t="str">
        <x:v>low</x:v>
      </x:c>
      <x:c r="R24" s="46" t="str"/>
      <x:c r="S24" s="46" t="str">
        <x:v>no</x:v>
      </x:c>
      <x:c r="T24" s="46" t="str"/>
      <x:c r="U24" s="46" t="str"/>
      <x:c r="V24" s="46" t="str">
        <x:v>https://heilpraktikerin-keil.de/</x:v>
      </x:c>
      <x:c r="W24" s="46" t="str">
        <x:v>Manuell im Browser zusätzlich über Praxisdomain, Name, PLZ und konkrete Anschrift gegengeprüft. visible page text near matching postal code; checked 4 page(s)</x:v>
      </x:c>
      <x:c r="X24" s="46" t="str"/>
      <x:c r="Y24" s="46" t="str">
        <x:v>yes</x:v>
      </x:c>
      <x:c r="Z24" s="45" t="str">
        <x:v>offen</x:v>
      </x:c>
      <x:c r="AA24" s="45" t="str"/>
      <x:c r="AB24" s="46" t="n">
        <x:f>IF(LEN(U24)&gt;0,1,0)</x:f>
        <x:v>0</x:v>
      </x:c>
    </x:row>
    <x:row r="25">
      <x:c r="A25" s="44" t="n">
        <x:v>2</x:v>
      </x:c>
      <x:c r="B25" s="44" t="str">
        <x:v>2 – Offen</x:v>
      </x:c>
      <x:c r="C25" s="47" t="str">
        <x:v>1106</x:v>
      </x:c>
      <x:c r="D25" s="46" t="str">
        <x:v>David Ruf</x:v>
      </x:c>
      <x:c r="E25" s="46" t="str"/>
      <x:c r="F25" s="46" t="str">
        <x:v>wm-singen.de</x:v>
      </x:c>
      <x:c r="G25" s="46" t="str">
        <x:v>DE</x:v>
      </x:c>
      <x:c r="H25" s="48" t="str">
        <x:v>78224</x:v>
      </x:c>
      <x:c r="I25" s="46" t="str">
        <x:v>DE</x:v>
      </x:c>
      <x:c r="J25" s="48" t="str">
        <x:v>78224</x:v>
      </x:c>
      <x:c r="K25" s="46" t="str">
        <x:v>Singen</x:v>
      </x:c>
      <x:c r="L25" s="46" t="str">
        <x:v>Hegaustraße</x:v>
      </x:c>
      <x:c r="M25" s="46" t="str">
        <x:v>17</x:v>
      </x:c>
      <x:c r="N25" s="46" t="str">
        <x:v>Hegaustraße 17, 78224 Singen</x:v>
      </x:c>
      <x:c r="O25" s="46" t="str">
        <x:v>yes</x:v>
      </x:c>
      <x:c r="P25" s="46" t="str">
        <x:v>ambiguous</x:v>
      </x:c>
      <x:c r="Q25" s="46" t="str">
        <x:v>low</x:v>
      </x:c>
      <x:c r="R25" s="46" t="str"/>
      <x:c r="S25" s="46" t="str">
        <x:v>no</x:v>
      </x:c>
      <x:c r="T25" s="46" t="str"/>
      <x:c r="U25" s="46" t="str"/>
      <x:c r="V25" s="46" t="str">
        <x:v>https://wm-singen.de/impressum</x:v>
      </x:c>
      <x:c r="W25" s="46" t="str">
        <x:v>Manuell im Browser zusätzlich über Praxisdomain, Name, PLZ und konkrete Anschrift gegengeprüft. visible page text near matching postal code; checked 4 page(s)</x:v>
      </x:c>
      <x:c r="X25" s="46" t="str"/>
      <x:c r="Y25" s="46" t="str">
        <x:v>yes</x:v>
      </x:c>
      <x:c r="Z25" s="45" t="str">
        <x:v>offen</x:v>
      </x:c>
      <x:c r="AA25" s="45" t="str"/>
      <x:c r="AB25" s="46" t="n">
        <x:f>IF(LEN(U25)&gt;0,1,0)</x:f>
        <x:v>0</x:v>
      </x:c>
    </x:row>
    <x:row r="26">
      <x:c r="A26" s="44" t="n">
        <x:v>2</x:v>
      </x:c>
      <x:c r="B26" s="44" t="str">
        <x:v>2 – Offen</x:v>
      </x:c>
      <x:c r="C26" s="47" t="str">
        <x:v>1107</x:v>
      </x:c>
      <x:c r="D26" s="46" t="str">
        <x:v>Susanne Mattke</x:v>
      </x:c>
      <x:c r="E26" s="46" t="str"/>
      <x:c r="F26" s="46" t="str">
        <x:v>www.hausderbalance.de</x:v>
      </x:c>
      <x:c r="G26" s="46" t="str">
        <x:v>DE</x:v>
      </x:c>
      <x:c r="H26" s="48" t="str">
        <x:v>78250</x:v>
      </x:c>
      <x:c r="I26" s="46" t="str">
        <x:v>DE</x:v>
      </x:c>
      <x:c r="J26" s="48" t="str">
        <x:v>78250</x:v>
      </x:c>
      <x:c r="K26" s="46" t="str">
        <x:v>Watterdingen</x:v>
      </x:c>
      <x:c r="L26" s="46" t="str">
        <x:v>Hohlgass</x:v>
      </x:c>
      <x:c r="M26" s="46" t="str">
        <x:v>4</x:v>
      </x:c>
      <x:c r="N26" s="46" t="str">
        <x:v>Hohlgass 4, 78250 Watterdingen</x:v>
      </x:c>
      <x:c r="O26" s="46" t="str">
        <x:v>yes</x:v>
      </x:c>
      <x:c r="P26" s="46" t="str">
        <x:v>ambiguous</x:v>
      </x:c>
      <x:c r="Q26" s="46" t="str">
        <x:v>low</x:v>
      </x:c>
      <x:c r="R26" s="46" t="str"/>
      <x:c r="S26" s="46" t="str">
        <x:v>no</x:v>
      </x:c>
      <x:c r="T26" s="46" t="str"/>
      <x:c r="U26" s="46" t="str"/>
      <x:c r="V26" s="46" t="str">
        <x:v>https://www.hausderbalance.de/</x:v>
      </x:c>
      <x:c r="W26" s="46" t="str">
        <x:v>Manuell im Browser zusätzlich über Praxisdomain, Name, PLZ und konkrete Anschrift gegengeprüft. visible page text near matching postal code; checked 4 page(s)</x:v>
      </x:c>
      <x:c r="X26" s="46" t="str"/>
      <x:c r="Y26" s="46" t="str">
        <x:v>yes</x:v>
      </x:c>
      <x:c r="Z26" s="45" t="str">
        <x:v>offen</x:v>
      </x:c>
      <x:c r="AA26" s="45" t="str"/>
      <x:c r="AB26" s="46" t="n">
        <x:f>IF(LEN(U26)&gt;0,1,0)</x:f>
        <x:v>0</x:v>
      </x:c>
    </x:row>
    <x:row r="27">
      <x:c r="A27" s="44" t="n">
        <x:v>2</x:v>
      </x:c>
      <x:c r="B27" s="44" t="str">
        <x:v>2 – Offen</x:v>
      </x:c>
      <x:c r="C27" s="47" t="str">
        <x:v>1113</x:v>
      </x:c>
      <x:c r="D27" s="46" t="str">
        <x:v>Dr. Moritz Hempen</x:v>
      </x:c>
      <x:c r="E27" s="46" t="str"/>
      <x:c r="F27" s="46" t="str">
        <x:v>www.hempen.de</x:v>
      </x:c>
      <x:c r="G27" s="46" t="str">
        <x:v>DE</x:v>
      </x:c>
      <x:c r="H27" s="48" t="str">
        <x:v>80801</x:v>
      </x:c>
      <x:c r="I27" s="46" t="str">
        <x:v>DE</x:v>
      </x:c>
      <x:c r="J27" s="48" t="str">
        <x:v>80801</x:v>
      </x:c>
      <x:c r="K27" s="46" t="str">
        <x:v>München/Schwabing</x:v>
      </x:c>
      <x:c r="L27" s="46" t="str">
        <x:v>Franz-Joseph-Straße</x:v>
      </x:c>
      <x:c r="M27" s="46" t="str">
        <x:v>38</x:v>
      </x:c>
      <x:c r="N27" s="46" t="str">
        <x:v>Franz-Joseph-Straße 38, 80801 München/Schwabing</x:v>
      </x:c>
      <x:c r="O27" s="46" t="str">
        <x:v>yes</x:v>
      </x:c>
      <x:c r="P27" s="46" t="str">
        <x:v>ambiguous</x:v>
      </x:c>
      <x:c r="Q27" s="46" t="str">
        <x:v>low</x:v>
      </x:c>
      <x:c r="R27" s="46" t="str"/>
      <x:c r="S27" s="46" t="str">
        <x:v>no</x:v>
      </x:c>
      <x:c r="T27" s="46" t="str"/>
      <x:c r="U27" s="46" t="str"/>
      <x:c r="V27" s="46" t="str">
        <x:v>https://www.hempen.de/</x:v>
      </x:c>
      <x:c r="W27" s="46" t="str">
        <x:v>Manuell im Browser zusätzlich über Praxisdomain, Name, PLZ und konkrete Anschrift gegengeprüft. visible page text near matching postal code; checked 5 page(s)</x:v>
      </x:c>
      <x:c r="X27" s="46" t="str"/>
      <x:c r="Y27" s="46" t="str">
        <x:v>yes</x:v>
      </x:c>
      <x:c r="Z27" s="45" t="str">
        <x:v>offen</x:v>
      </x:c>
      <x:c r="AA27" s="45" t="str"/>
      <x:c r="AB27" s="46" t="n">
        <x:f>IF(LEN(U27)&gt;0,1,0)</x:f>
        <x:v>0</x:v>
      </x:c>
    </x:row>
    <x:row r="28">
      <x:c r="A28" s="44" t="n">
        <x:v>2</x:v>
      </x:c>
      <x:c r="B28" s="44" t="str">
        <x:v>2 – Offen</x:v>
      </x:c>
      <x:c r="C28" s="47" t="str">
        <x:v>1114</x:v>
      </x:c>
      <x:c r="D28" s="46" t="str">
        <x:v>Sebastian Weber</x:v>
      </x:c>
      <x:c r="E28" s="46" t="str"/>
      <x:c r="F28" s="46" t="str">
        <x:v>www.weber-heilpraktiker-germering.de</x:v>
      </x:c>
      <x:c r="G28" s="46" t="str">
        <x:v>DE</x:v>
      </x:c>
      <x:c r="H28" s="48" t="str">
        <x:v>82110</x:v>
      </x:c>
      <x:c r="I28" s="46" t="str">
        <x:v>DE</x:v>
      </x:c>
      <x:c r="J28" s="48" t="str">
        <x:v>82110</x:v>
      </x:c>
      <x:c r="K28" s="46" t="str">
        <x:v>Germering</x:v>
      </x:c>
      <x:c r="L28" s="46" t="str">
        <x:v>Rathausplatz</x:v>
      </x:c>
      <x:c r="M28" s="46" t="str">
        <x:v>2</x:v>
      </x:c>
      <x:c r="N28" s="46" t="str">
        <x:v>Rathausplatz 2, 82110 Germering</x:v>
      </x:c>
      <x:c r="O28" s="46" t="str">
        <x:v>yes</x:v>
      </x:c>
      <x:c r="P28" s="46" t="str">
        <x:v>ambiguous</x:v>
      </x:c>
      <x:c r="Q28" s="46" t="str">
        <x:v>low</x:v>
      </x:c>
      <x:c r="R28" s="46" t="str"/>
      <x:c r="S28" s="46" t="str">
        <x:v>no</x:v>
      </x:c>
      <x:c r="T28" s="46" t="str"/>
      <x:c r="U28" s="46" t="str"/>
      <x:c r="V28" s="46" t="str">
        <x:v>https://www.weber-heilpraktiker-germering.de/</x:v>
      </x:c>
      <x:c r="W28" s="46" t="str">
        <x:v>Manuell im Browser zusätzlich über Praxisdomain, Name, PLZ und konkrete Anschrift gegengeprüft. visible page text near matching postal code; checked 4 page(s)</x:v>
      </x:c>
      <x:c r="X28" s="46" t="str"/>
      <x:c r="Y28" s="46" t="str">
        <x:v>yes</x:v>
      </x:c>
      <x:c r="Z28" s="45" t="str">
        <x:v>offen</x:v>
      </x:c>
      <x:c r="AA28" s="45" t="str"/>
      <x:c r="AB28" s="46" t="n">
        <x:f>IF(LEN(U28)&gt;0,1,0)</x:f>
        <x:v>0</x:v>
      </x:c>
    </x:row>
    <x:row r="29">
      <x:c r="A29" s="44" t="n">
        <x:v>2</x:v>
      </x:c>
      <x:c r="B29" s="44" t="str">
        <x:v>2 – Offen</x:v>
      </x:c>
      <x:c r="C29" s="47" t="str">
        <x:v>1115</x:v>
      </x:c>
      <x:c r="D29" s="46" t="str">
        <x:v>Dr. Reinhard Schiller</x:v>
      </x:c>
      <x:c r="E29" s="46" t="str"/>
      <x:c r="F29" s="46" t="str">
        <x:v>www.dr-schiller.de</x:v>
      </x:c>
      <x:c r="G29" s="46" t="str">
        <x:v>DE</x:v>
      </x:c>
      <x:c r="H29" s="48" t="str">
        <x:v>84144</x:v>
      </x:c>
      <x:c r="I29" s="46" t="str">
        <x:v>DE</x:v>
      </x:c>
      <x:c r="J29" s="48" t="str">
        <x:v>84144</x:v>
      </x:c>
      <x:c r="K29" s="46" t="str">
        <x:v>Geisenhausen</x:v>
      </x:c>
      <x:c r="L29" s="46" t="str">
        <x:v>Benzstraße</x:v>
      </x:c>
      <x:c r="M29" s="46" t="str">
        <x:v>12</x:v>
      </x:c>
      <x:c r="N29" s="46" t="str">
        <x:v>Benzstraße 12, 84144 Geisenhausen</x:v>
      </x:c>
      <x:c r="O29" s="46" t="str">
        <x:v>yes</x:v>
      </x:c>
      <x:c r="P29" s="46" t="str">
        <x:v>ambiguous</x:v>
      </x:c>
      <x:c r="Q29" s="46" t="str">
        <x:v>low</x:v>
      </x:c>
      <x:c r="R29" s="46" t="str"/>
      <x:c r="S29" s="46" t="str">
        <x:v>no</x:v>
      </x:c>
      <x:c r="T29" s="46" t="str"/>
      <x:c r="U29" s="46" t="str"/>
      <x:c r="V29" s="46" t="str">
        <x:v>https://www.dr-schiller.de/</x:v>
      </x:c>
      <x:c r="W29" s="46" t="str">
        <x:v>Manuell im Browser zusätzlich über Praxisdomain, Name, PLZ und konkrete Anschrift gegengeprüft. visible page text near matching postal code; checked 2 page(s)</x:v>
      </x:c>
      <x:c r="X29" s="46" t="str"/>
      <x:c r="Y29" s="46" t="str">
        <x:v>yes</x:v>
      </x:c>
      <x:c r="Z29" s="45" t="str">
        <x:v>offen</x:v>
      </x:c>
      <x:c r="AA29" s="45" t="str"/>
      <x:c r="AB29" s="46" t="n">
        <x:f>IF(LEN(U29)&gt;0,1,0)</x:f>
        <x:v>0</x:v>
      </x:c>
    </x:row>
    <x:row r="30">
      <x:c r="A30" s="44" t="n">
        <x:v>2</x:v>
      </x:c>
      <x:c r="B30" s="44" t="str">
        <x:v>2 – Offen</x:v>
      </x:c>
      <x:c r="C30" s="47" t="str">
        <x:v>1085</x:v>
      </x:c>
      <x:c r="D30" s="46" t="str">
        <x:v>Dr. Andrea Meuser</x:v>
      </x:c>
      <x:c r="E30" s="46" t="str"/>
      <x:c r="F30" s="46" t="str">
        <x:v>www.jameda.de</x:v>
      </x:c>
      <x:c r="G30" s="46" t="str">
        <x:v>DE</x:v>
      </x:c>
      <x:c r="H30" s="48" t="str">
        <x:v>51069</x:v>
      </x:c>
      <x:c r="I30" s="46" t="str">
        <x:v>DE</x:v>
      </x:c>
      <x:c r="J30" s="48" t="str">
        <x:v>51069</x:v>
      </x:c>
      <x:c r="K30" s="46" t="str">
        <x:v>Köln</x:v>
      </x:c>
      <x:c r="L30" s="46" t="str">
        <x:v>Von-Quadt-Straße</x:v>
      </x:c>
      <x:c r="M30" s="46" t="str">
        <x:v>8</x:v>
      </x:c>
      <x:c r="N30" s="46" t="str">
        <x:v>Von-Quadt-Straße 8, 51069 Köln, DE</x:v>
      </x:c>
      <x:c r="O30" s="46" t="str">
        <x:v>yes</x:v>
      </x:c>
      <x:c r="P30" s="46" t="str">
        <x:v>manual_research_required</x:v>
      </x:c>
      <x:c r="Q30" s="46" t="str">
        <x:v>low</x:v>
      </x:c>
      <x:c r="R30" s="46" t="str"/>
      <x:c r="S30" s="46" t="str">
        <x:v>no</x:v>
      </x:c>
      <x:c r="T30" s="46" t="str"/>
      <x:c r="U30" s="46" t="str"/>
      <x:c r="V30" s="46" t="str"/>
      <x:c r="W30" s="46" t="str">
        <x:v>Treffer nennen Dr. Andrea Meuser an Von-Quadt-Straße 8, 51069 Köln, weisen aber auf eine Praxisübernahme 2023 hin. Aktualität manuell klären.</x:v>
      </x:c>
      <x:c r="X30" s="46" t="str"/>
      <x:c r="Y30" s="46" t="str">
        <x:v>yes</x:v>
      </x:c>
      <x:c r="Z30" s="45" t="str">
        <x:v>offen</x:v>
      </x:c>
      <x:c r="AA30" s="45" t="str"/>
      <x:c r="AB30" s="46" t="n">
        <x:f>IF(LEN(U30)&gt;0,1,0)</x:f>
        <x:v>0</x:v>
      </x:c>
    </x:row>
    <x:row r="31">
      <x:c r="A31" s="44" t="n">
        <x:v>3</x:v>
      </x:c>
      <x:c r="B31" s="44" t="str">
        <x:v>3 – Wahrscheinlich</x:v>
      </x:c>
      <x:c r="C31" s="47" t="str">
        <x:v>1058</x:v>
      </x:c>
      <x:c r="D31" s="46" t="str">
        <x:v>Dr. Mei-Lin Blum-Jacot</x:v>
      </x:c>
      <x:c r="E31" s="46" t="str"/>
      <x:c r="F31" s="46" t="str">
        <x:v>www.pflanzberg.ch</x:v>
      </x:c>
      <x:c r="G31" s="46" t="str">
        <x:v>CH</x:v>
      </x:c>
      <x:c r="H31" s="48" t="str">
        <x:v>8274</x:v>
      </x:c>
      <x:c r="I31" s="46" t="str">
        <x:v>CH</x:v>
      </x:c>
      <x:c r="J31" s="48" t="str">
        <x:v>8274</x:v>
      </x:c>
      <x:c r="K31" s="46" t="str">
        <x:v>Tägerwilen</x:v>
      </x:c>
      <x:c r="L31" s="46" t="str">
        <x:v>Poststrasse</x:v>
      </x:c>
      <x:c r="M31" s="46" t="str">
        <x:v>20</x:v>
      </x:c>
      <x:c r="N31" s="46" t="str">
        <x:v>Poststrasse 20, 8274 Tägerwilen, CH</x:v>
      </x:c>
      <x:c r="O31" s="46" t="str">
        <x:v>yes</x:v>
      </x:c>
      <x:c r="P31" s="46" t="str">
        <x:v>probable</x:v>
      </x:c>
      <x:c r="Q31" s="46" t="str">
        <x:v>high</x:v>
      </x:c>
      <x:c r="R31" s="46" t="str"/>
      <x:c r="S31" s="46" t="str">
        <x:v>no</x:v>
      </x:c>
      <x:c r="T31" s="46" t="str"/>
      <x:c r="U31" s="46" t="str"/>
      <x:c r="V31" s="46" t="str">
        <x:v>https://www.pflanzberg.ch/</x:v>
      </x:c>
      <x:c r="W31" s="46" t="str">
        <x:v>Offizielle Praxisdomain und Suchtreffer nennen Ärzte am Pflanzberg AG, Poststrasse 20, 8274 Tägerwilen; Mei-Lin Blum-Jacot ist dort im Team gelistet.</x:v>
      </x:c>
      <x:c r="X31" s="46" t="str"/>
      <x:c r="Y31" s="46" t="str">
        <x:v>yes</x:v>
      </x:c>
      <x:c r="Z31" s="45" t="str">
        <x:v>offen</x:v>
      </x:c>
      <x:c r="AA31" s="45" t="str"/>
      <x:c r="AB31" s="46" t="n">
        <x:f>IF(LEN(U31)&gt;0,1,0)</x:f>
        <x:v>0</x:v>
      </x:c>
    </x:row>
    <x:row r="32">
      <x:c r="A32" s="44" t="n">
        <x:v>3</x:v>
      </x:c>
      <x:c r="B32" s="44" t="str">
        <x:v>3 – Wahrscheinlich</x:v>
      </x:c>
      <x:c r="C32" s="47" t="str">
        <x:v>1064</x:v>
      </x:c>
      <x:c r="D32" s="46" t="str">
        <x:v>Dr. Désirée Schaumburg</x:v>
      </x:c>
      <x:c r="E32" s="46" t="str"/>
      <x:c r="F32" s="46" t="str">
        <x:v>neuzeitaerztin.de</x:v>
      </x:c>
      <x:c r="G32" s="46" t="str">
        <x:v>DE</x:v>
      </x:c>
      <x:c r="H32" s="48" t="str">
        <x:v>14480</x:v>
      </x:c>
      <x:c r="I32" s="46" t="str">
        <x:v>DE</x:v>
      </x:c>
      <x:c r="J32" s="48" t="str">
        <x:v>14480</x:v>
      </x:c>
      <x:c r="K32" s="46" t="str">
        <x:v>Potsdam</x:v>
      </x:c>
      <x:c r="L32" s="46" t="str">
        <x:v>Gaußstraße</x:v>
      </x:c>
      <x:c r="M32" s="46" t="str">
        <x:v>51</x:v>
      </x:c>
      <x:c r="N32" s="46" t="str">
        <x:v>Gaußstraße 51, 14480 Potsdam, DE</x:v>
      </x:c>
      <x:c r="O32" s="46" t="str">
        <x:v>yes</x:v>
      </x:c>
      <x:c r="P32" s="46" t="str">
        <x:v>probable</x:v>
      </x:c>
      <x:c r="Q32" s="46" t="str">
        <x:v>high</x:v>
      </x:c>
      <x:c r="R32" s="46" t="str"/>
      <x:c r="S32" s="46" t="str">
        <x:v>no</x:v>
      </x:c>
      <x:c r="T32" s="46" t="str"/>
      <x:c r="U32" s="46" t="str"/>
      <x:c r="V32" s="46" t="str">
        <x:v>https://praxis-dr-med-arlt.de/praxis-fuer-pravention-und-regulationsmedizin/</x:v>
      </x:c>
      <x:c r="W32" s="46" t="str">
        <x:v>Manuell recherchiert: Praxis für Prävention und Regulationsmedizin nennt Dr. Désirée Schaumburg und Gaußstraße 51, 14480 Potsdam.</x:v>
      </x:c>
      <x:c r="X32" s="46" t="str"/>
      <x:c r="Y32" s="46" t="str">
        <x:v>yes</x:v>
      </x:c>
      <x:c r="Z32" s="45" t="str">
        <x:v>offen</x:v>
      </x:c>
      <x:c r="AA32" s="45" t="str"/>
      <x:c r="AB32" s="46" t="n">
        <x:f>IF(LEN(U32)&gt;0,1,0)</x:f>
        <x:v>0</x:v>
      </x:c>
    </x:row>
    <x:row r="33">
      <x:c r="A33" s="44" t="n">
        <x:v>3</x:v>
      </x:c>
      <x:c r="B33" s="44" t="str">
        <x:v>3 – Wahrscheinlich</x:v>
      </x:c>
      <x:c r="C33" s="47" t="str">
        <x:v>1067</x:v>
      </x:c>
      <x:c r="D33" s="46" t="str">
        <x:v>Ralph Gadow</x:v>
      </x:c>
      <x:c r="E33" s="46" t="str"/>
      <x:c r="F33" s="46" t="str">
        <x:v>www.heilpraktikerpraxis-hamburg.de</x:v>
      </x:c>
      <x:c r="G33" s="46" t="str">
        <x:v>DE</x:v>
      </x:c>
      <x:c r="H33" s="48" t="str">
        <x:v>20354</x:v>
      </x:c>
      <x:c r="I33" s="46" t="str">
        <x:v>DE</x:v>
      </x:c>
      <x:c r="J33" s="48" t="str">
        <x:v>20354</x:v>
      </x:c>
      <x:c r="K33" s="46" t="str">
        <x:v>Hamburg</x:v>
      </x:c>
      <x:c r="L33" s="46" t="str">
        <x:v>Jungfernstieg</x:v>
      </x:c>
      <x:c r="M33" s="46" t="str">
        <x:v>44</x:v>
      </x:c>
      <x:c r="N33" s="46" t="str">
        <x:v>Jungfernstieg 44, 20354 Hamburg, DE</x:v>
      </x:c>
      <x:c r="O33" s="46" t="str">
        <x:v>yes</x:v>
      </x:c>
      <x:c r="P33" s="46" t="str">
        <x:v>probable</x:v>
      </x:c>
      <x:c r="Q33" s="46" t="str">
        <x:v>medium</x:v>
      </x:c>
      <x:c r="R33" s="46" t="str"/>
      <x:c r="S33" s="46" t="str">
        <x:v>no</x:v>
      </x:c>
      <x:c r="T33" s="46" t="str"/>
      <x:c r="U33" s="46" t="str"/>
      <x:c r="V33" s="46" t="str">
        <x:v>https://www.heilpraktikerpraxis-hamburg.de/kontakt</x:v>
      </x:c>
      <x:c r="W33" s="46" t="str">
        <x:v>Praxisdomain und Unternehmensprofil nennen Ralph Gadow, Jungfernstieg 44, 20354 Hamburg.</x:v>
      </x:c>
      <x:c r="X33" s="46" t="str"/>
      <x:c r="Y33" s="46" t="str">
        <x:v>yes</x:v>
      </x:c>
      <x:c r="Z33" s="45" t="str">
        <x:v>offen</x:v>
      </x:c>
      <x:c r="AA33" s="45" t="str"/>
      <x:c r="AB33" s="46" t="n">
        <x:f>IF(LEN(U33)&gt;0,1,0)</x:f>
        <x:v>0</x:v>
      </x:c>
    </x:row>
    <x:row r="34">
      <x:c r="A34" s="44" t="n">
        <x:v>3</x:v>
      </x:c>
      <x:c r="B34" s="44" t="str">
        <x:v>3 – Wahrscheinlich</x:v>
      </x:c>
      <x:c r="C34" s="47" t="str">
        <x:v>1073</x:v>
      </x:c>
      <x:c r="D34" s="46" t="str">
        <x:v>Matthias Badzun</x:v>
      </x:c>
      <x:c r="E34" s="46" t="str"/>
      <x:c r="F34" s="46" t="str">
        <x:v>www.badzun.de</x:v>
      </x:c>
      <x:c r="G34" s="46" t="str">
        <x:v>DE</x:v>
      </x:c>
      <x:c r="H34" s="48" t="str">
        <x:v>27798</x:v>
      </x:c>
      <x:c r="I34" s="46" t="str">
        <x:v>DE</x:v>
      </x:c>
      <x:c r="J34" s="48" t="str">
        <x:v>27798</x:v>
      </x:c>
      <x:c r="K34" s="46" t="str">
        <x:v>Hude</x:v>
      </x:c>
      <x:c r="L34" s="46" t="str">
        <x:v>Grummersorter Dorfstraße</x:v>
      </x:c>
      <x:c r="M34" s="46" t="str">
        <x:v>47</x:v>
      </x:c>
      <x:c r="N34" s="46" t="str">
        <x:v>Grummersorter Dorfstraße 47, 27798 Hude, DE</x:v>
      </x:c>
      <x:c r="O34" s="46" t="str">
        <x:v>yes</x:v>
      </x:c>
      <x:c r="P34" s="46" t="str">
        <x:v>probable</x:v>
      </x:c>
      <x:c r="Q34" s="46" t="str">
        <x:v>medium</x:v>
      </x:c>
      <x:c r="R34" s="46" t="str"/>
      <x:c r="S34" s="46" t="str">
        <x:v>no</x:v>
      </x:c>
      <x:c r="T34" s="46" t="str"/>
      <x:c r="U34" s="46" t="str"/>
      <x:c r="V34" s="46" t="str">
        <x:v>https://www.badzun.de/</x:v>
      </x:c>
      <x:c r="W34" s="46" t="str">
        <x:v>Praxisdomain und Unternehmensprofil nennen Matthias Badzun, Grummersorter Dorfstraße 47, 27798 Hude-Grummersort.</x:v>
      </x:c>
      <x:c r="X34" s="46" t="str"/>
      <x:c r="Y34" s="46" t="str">
        <x:v>yes</x:v>
      </x:c>
      <x:c r="Z34" s="45" t="str">
        <x:v>offen</x:v>
      </x:c>
      <x:c r="AA34" s="45" t="str"/>
      <x:c r="AB34" s="46" t="n">
        <x:f>IF(LEN(U34)&gt;0,1,0)</x:f>
        <x:v>0</x:v>
      </x:c>
    </x:row>
    <x:row r="35">
      <x:c r="A35" s="44" t="n">
        <x:v>3</x:v>
      </x:c>
      <x:c r="B35" s="44" t="str">
        <x:v>3 – Wahrscheinlich</x:v>
      </x:c>
      <x:c r="C35" s="47" t="str">
        <x:v>1074</x:v>
      </x:c>
      <x:c r="D35" s="46" t="str">
        <x:v>Dr. Michael Wittke</x:v>
      </x:c>
      <x:c r="E35" s="46" t="str"/>
      <x:c r="F35" s="46" t="str">
        <x:v>privatpraxis-drwittke.de</x:v>
      </x:c>
      <x:c r="G35" s="46" t="str">
        <x:v>DE</x:v>
      </x:c>
      <x:c r="H35" s="48" t="str">
        <x:v>29221</x:v>
      </x:c>
      <x:c r="I35" s="46" t="str">
        <x:v>DE</x:v>
      </x:c>
      <x:c r="J35" s="48" t="str">
        <x:v>29221</x:v>
      </x:c>
      <x:c r="K35" s="46" t="str">
        <x:v>Celle</x:v>
      </x:c>
      <x:c r="L35" s="46" t="str">
        <x:v>Sägemühlenstraße</x:v>
      </x:c>
      <x:c r="M35" s="46" t="str">
        <x:v>3</x:v>
      </x:c>
      <x:c r="N35" s="46" t="str">
        <x:v>Sägemühlenstraße 3, 29221 Celle</x:v>
      </x:c>
      <x:c r="O35" s="46" t="str">
        <x:v>yes</x:v>
      </x:c>
      <x:c r="P35" s="46" t="str">
        <x:v>probable</x:v>
      </x:c>
      <x:c r="Q35" s="46" t="str">
        <x:v>high</x:v>
      </x:c>
      <x:c r="R35" s="46" t="str"/>
      <x:c r="S35" s="46" t="str">
        <x:v>no</x:v>
      </x:c>
      <x:c r="T35" s="46" t="str"/>
      <x:c r="U35" s="46" t="str"/>
      <x:c r="V35" s="46" t="str">
        <x:v>https://privatpraxis-drwittke.de/</x:v>
      </x:c>
      <x:c r="W35" s="46" t="str">
        <x:v>Manuell im Browser zusätzlich über Praxisdomain, Name, PLZ und konkrete Anschrift gegengeprüft. visible page text near matching postal code; checked 5 page(s)</x:v>
      </x:c>
      <x:c r="X35" s="46" t="str"/>
      <x:c r="Y35" s="46" t="str">
        <x:v>yes</x:v>
      </x:c>
      <x:c r="Z35" s="45" t="str">
        <x:v>offen</x:v>
      </x:c>
      <x:c r="AA35" s="45" t="str"/>
      <x:c r="AB35" s="46" t="n">
        <x:f>IF(LEN(U35)&gt;0,1,0)</x:f>
        <x:v>0</x:v>
      </x:c>
    </x:row>
    <x:row r="36">
      <x:c r="A36" s="44" t="n">
        <x:v>3</x:v>
      </x:c>
      <x:c r="B36" s="44" t="str">
        <x:v>3 – Wahrscheinlich</x:v>
      </x:c>
      <x:c r="C36" s="47" t="str">
        <x:v>1080</x:v>
      </x:c>
      <x:c r="D36" s="46" t="str">
        <x:v>Kristine Fredriksson</x:v>
      </x:c>
      <x:c r="E36" s="46" t="str"/>
      <x:c r="F36" s="46" t="str">
        <x:v>www.natuerliche-therapie.de</x:v>
      </x:c>
      <x:c r="G36" s="46" t="str">
        <x:v>DE</x:v>
      </x:c>
      <x:c r="H36" s="48" t="str">
        <x:v>45259</x:v>
      </x:c>
      <x:c r="I36" s="46" t="str">
        <x:v>DE</x:v>
      </x:c>
      <x:c r="J36" s="48" t="str">
        <x:v>45259</x:v>
      </x:c>
      <x:c r="K36" s="46" t="str">
        <x:v>Essen</x:v>
      </x:c>
      <x:c r="L36" s="46" t="str">
        <x:v>Stauseebogen</x:v>
      </x:c>
      <x:c r="M36" s="46" t="str">
        <x:v>69</x:v>
      </x:c>
      <x:c r="N36" s="46" t="str">
        <x:v>Stauseebogen 69, 45259 Essen</x:v>
      </x:c>
      <x:c r="O36" s="46" t="str">
        <x:v>yes</x:v>
      </x:c>
      <x:c r="P36" s="46" t="str">
        <x:v>probable</x:v>
      </x:c>
      <x:c r="Q36" s="46" t="str">
        <x:v>high</x:v>
      </x:c>
      <x:c r="R36" s="46" t="str"/>
      <x:c r="S36" s="46" t="str">
        <x:v>no</x:v>
      </x:c>
      <x:c r="T36" s="46" t="str"/>
      <x:c r="U36" s="46" t="str"/>
      <x:c r="V36" s="46" t="str">
        <x:v>https://natuerliche-therapie.de/impressum-disclaimer/</x:v>
      </x:c>
      <x:c r="W36" s="46" t="str">
        <x:v>Manuell im Browser zusätzlich über Praxisdomain, Name, PLZ und konkrete Anschrift gegengeprüft. visible page text near matching postal code; checked 5 page(s)</x:v>
      </x:c>
      <x:c r="X36" s="46" t="str"/>
      <x:c r="Y36" s="46" t="str">
        <x:v>yes</x:v>
      </x:c>
      <x:c r="Z36" s="45" t="str">
        <x:v>offen</x:v>
      </x:c>
      <x:c r="AA36" s="45" t="str"/>
      <x:c r="AB36" s="46" t="n">
        <x:f>IF(LEN(U36)&gt;0,1,0)</x:f>
        <x:v>0</x:v>
      </x:c>
    </x:row>
    <x:row r="37">
      <x:c r="A37" s="44" t="n">
        <x:v>3</x:v>
      </x:c>
      <x:c r="B37" s="44" t="str">
        <x:v>3 – Wahrscheinlich</x:v>
      </x:c>
      <x:c r="C37" s="47" t="str">
        <x:v>1081</x:v>
      </x:c>
      <x:c r="D37" s="46" t="str">
        <x:v>Ulrike Lübke</x:v>
      </x:c>
      <x:c r="E37" s="46" t="str"/>
      <x:c r="F37" s="46" t="str">
        <x:v>www.ulrike-luerbke.de</x:v>
      </x:c>
      <x:c r="G37" s="46" t="str">
        <x:v>DE</x:v>
      </x:c>
      <x:c r="H37" s="48" t="str">
        <x:v>48163</x:v>
      </x:c>
      <x:c r="I37" s="46" t="str">
        <x:v>DE</x:v>
      </x:c>
      <x:c r="J37" s="48" t="str">
        <x:v>48163</x:v>
      </x:c>
      <x:c r="K37" s="46" t="str">
        <x:v>Münster</x:v>
      </x:c>
      <x:c r="L37" s="46" t="str">
        <x:v>Christoph-Bernhard-Graben</x:v>
      </x:c>
      <x:c r="M37" s="46" t="str">
        <x:v>147</x:v>
      </x:c>
      <x:c r="N37" s="46" t="str">
        <x:v>Christoph-Bernhard-Graben 147, 48163 Münster</x:v>
      </x:c>
      <x:c r="O37" s="46" t="str">
        <x:v>yes</x:v>
      </x:c>
      <x:c r="P37" s="46" t="str">
        <x:v>probable</x:v>
      </x:c>
      <x:c r="Q37" s="46" t="str">
        <x:v>high</x:v>
      </x:c>
      <x:c r="R37" s="46" t="str"/>
      <x:c r="S37" s="46" t="str">
        <x:v>no</x:v>
      </x:c>
      <x:c r="T37" s="46" t="str"/>
      <x:c r="U37" s="46" t="str"/>
      <x:c r="V37" s="46" t="str">
        <x:v>https://www.ulrike-luerbke.de/</x:v>
      </x:c>
      <x:c r="W37" s="46" t="str">
        <x:v>Manuell im Browser zusätzlich über Praxisdomain, Name, PLZ und konkrete Anschrift gegengeprüft. visible page text near matching postal code; checked 4 page(s)</x:v>
      </x:c>
      <x:c r="X37" s="46" t="str"/>
      <x:c r="Y37" s="46" t="str">
        <x:v>yes</x:v>
      </x:c>
      <x:c r="Z37" s="45" t="str">
        <x:v>offen</x:v>
      </x:c>
      <x:c r="AA37" s="45" t="str"/>
      <x:c r="AB37" s="46" t="n">
        <x:f>IF(LEN(U37)&gt;0,1,0)</x:f>
        <x:v>0</x:v>
      </x:c>
    </x:row>
    <x:row r="38">
      <x:c r="A38" s="44" t="n">
        <x:v>3</x:v>
      </x:c>
      <x:c r="B38" s="44" t="str">
        <x:v>3 – Wahrscheinlich</x:v>
      </x:c>
      <x:c r="C38" s="47" t="str">
        <x:v>1086</x:v>
      </x:c>
      <x:c r="D38" s="46" t="str">
        <x:v>Lorenz Geßwein</x:v>
      </x:c>
      <x:c r="E38" s="46" t="str"/>
      <x:c r="F38" s="46" t="str">
        <x:v>www.hp-gesswein.de</x:v>
      </x:c>
      <x:c r="G38" s="46" t="str">
        <x:v>DE</x:v>
      </x:c>
      <x:c r="H38" s="48" t="str">
        <x:v>53129</x:v>
      </x:c>
      <x:c r="I38" s="46" t="str">
        <x:v>DE</x:v>
      </x:c>
      <x:c r="J38" s="48" t="str">
        <x:v>53129</x:v>
      </x:c>
      <x:c r="K38" s="46" t="str">
        <x:v>Bonn</x:v>
      </x:c>
      <x:c r="L38" s="46" t="str">
        <x:v>Am Zinnbruch</x:v>
      </x:c>
      <x:c r="M38" s="46" t="str">
        <x:v>34</x:v>
      </x:c>
      <x:c r="N38" s="46" t="str">
        <x:v>Am Zinnbruch 34, 53129 Bonn, Deutschland</x:v>
      </x:c>
      <x:c r="O38" s="46" t="str">
        <x:v>yes</x:v>
      </x:c>
      <x:c r="P38" s="46" t="str">
        <x:v>probable</x:v>
      </x:c>
      <x:c r="Q38" s="46" t="str">
        <x:v>high</x:v>
      </x:c>
      <x:c r="R38" s="46" t="str"/>
      <x:c r="S38" s="46" t="str">
        <x:v>no</x:v>
      </x:c>
      <x:c r="T38" s="46" t="str"/>
      <x:c r="U38" s="46" t="str"/>
      <x:c r="V38" s="46" t="str">
        <x:v>https://www.dasoertliche.de/Themen/Heilpraktiker-Gesswein-Lorenz-u-Erika-Marie-Kunsttherapeutin-Bonn-Dottendorf-Am-Zinnbruch</x:v>
      </x:c>
      <x:c r="W38" s="46" t="str">
        <x:v>Manuell im Browser geprüft: Name und Praxisadresse stimmen in mehreren unabhängigen Treffern überein (Das Örtliche, Doctify, Doctolib). Ursprungswebsite hat ein ungültiges selbstsigniertes SSL-Zertifikat.</x:v>
      </x:c>
      <x:c r="X38" s="46" t="str"/>
      <x:c r="Y38" s="46" t="str">
        <x:v>yes</x:v>
      </x:c>
      <x:c r="Z38" s="45" t="str">
        <x:v>offen</x:v>
      </x:c>
      <x:c r="AA38" s="45" t="str"/>
      <x:c r="AB38" s="46" t="n">
        <x:f>IF(LEN(U38)&gt;0,1,0)</x:f>
        <x:v>0</x:v>
      </x:c>
    </x:row>
    <x:row r="39">
      <x:c r="A39" s="44" t="n">
        <x:v>3</x:v>
      </x:c>
      <x:c r="B39" s="44" t="str">
        <x:v>3 – Wahrscheinlich</x:v>
      </x:c>
      <x:c r="C39" s="47" t="str">
        <x:v>1091</x:v>
      </x:c>
      <x:c r="D39" s="46" t="str">
        <x:v>Dr. Tim Krieger</x:v>
      </x:c>
      <x:c r="E39" s="46" t="str"/>
      <x:c r="F39" s="46" t="str">
        <x:v>www.praxiskrieger.com</x:v>
      </x:c>
      <x:c r="G39" s="46" t="str">
        <x:v>DE</x:v>
      </x:c>
      <x:c r="H39" s="48" t="str">
        <x:v>60386</x:v>
      </x:c>
      <x:c r="I39" s="46" t="str">
        <x:v>DE</x:v>
      </x:c>
      <x:c r="J39" s="48" t="str">
        <x:v>60386</x:v>
      </x:c>
      <x:c r="K39" s="46" t="str">
        <x:v>Frankfurt am Main</x:v>
      </x:c>
      <x:c r="L39" s="46" t="str">
        <x:v>Max-Hirsch-Straße</x:v>
      </x:c>
      <x:c r="M39" s="46" t="str">
        <x:v>34</x:v>
      </x:c>
      <x:c r="N39" s="46" t="str">
        <x:v>Max-Hirsch-Straße 34, 60386 Frankfurt am Main, DE</x:v>
      </x:c>
      <x:c r="O39" s="46" t="str">
        <x:v>yes</x:v>
      </x:c>
      <x:c r="P39" s="46" t="str">
        <x:v>probable</x:v>
      </x:c>
      <x:c r="Q39" s="46" t="str">
        <x:v>high</x:v>
      </x:c>
      <x:c r="R39" s="46" t="str"/>
      <x:c r="S39" s="46" t="str">
        <x:v>no</x:v>
      </x:c>
      <x:c r="T39" s="46" t="str"/>
      <x:c r="U39" s="46" t="str"/>
      <x:c r="V39" s="46" t="str">
        <x:v>https://www.praxiskrieger.com/termine-und-kontakt/</x:v>
      </x:c>
      <x:c r="W39" s="46" t="str">
        <x:v>Offizielle Kontaktseite nennt Praxis Krieger, Max-Hirsch-Straße 34, 60386 Frankfurt am Main.</x:v>
      </x:c>
      <x:c r="X39" s="46" t="str"/>
      <x:c r="Y39" s="46" t="str">
        <x:v>yes</x:v>
      </x:c>
      <x:c r="Z39" s="45" t="str">
        <x:v>offen</x:v>
      </x:c>
      <x:c r="AA39" s="45" t="str"/>
      <x:c r="AB39" s="46" t="n">
        <x:f>IF(LEN(U39)&gt;0,1,0)</x:f>
        <x:v>0</x:v>
      </x:c>
    </x:row>
    <x:row r="40">
      <x:c r="A40" s="44" t="n">
        <x:v>3</x:v>
      </x:c>
      <x:c r="B40" s="44" t="str">
        <x:v>3 – Wahrscheinlich</x:v>
      </x:c>
      <x:c r="C40" s="47" t="str">
        <x:v>1096</x:v>
      </x:c>
      <x:c r="D40" s="46" t="str">
        <x:v>Dirk-Rüdiger Noschinski</x:v>
      </x:c>
      <x:c r="E40" s="46" t="str"/>
      <x:c r="F40" s="46" t="str">
        <x:v>www.der-naturheilpraktiker.de</x:v>
      </x:c>
      <x:c r="G40" s="46" t="str">
        <x:v>DE</x:v>
      </x:c>
      <x:c r="H40" s="48" t="str">
        <x:v>65812</x:v>
      </x:c>
      <x:c r="I40" s="46" t="str">
        <x:v>DE</x:v>
      </x:c>
      <x:c r="J40" s="48" t="str">
        <x:v>65812</x:v>
      </x:c>
      <x:c r="K40" s="46" t="str">
        <x:v>Bad Soden am Taunus</x:v>
      </x:c>
      <x:c r="L40" s="46" t="str">
        <x:v>Gartenstraße</x:v>
      </x:c>
      <x:c r="M40" s="46" t="str">
        <x:v>2</x:v>
      </x:c>
      <x:c r="N40" s="46" t="str">
        <x:v>Gartenstraße 2, 65812 Bad Soden am Taunus</x:v>
      </x:c>
      <x:c r="O40" s="46" t="str">
        <x:v>yes</x:v>
      </x:c>
      <x:c r="P40" s="46" t="str">
        <x:v>probable</x:v>
      </x:c>
      <x:c r="Q40" s="46" t="str">
        <x:v>high</x:v>
      </x:c>
      <x:c r="R40" s="46" t="str"/>
      <x:c r="S40" s="46" t="str">
        <x:v>no</x:v>
      </x:c>
      <x:c r="T40" s="46" t="str"/>
      <x:c r="U40" s="46" t="str"/>
      <x:c r="V40" s="46" t="str">
        <x:v>https://www.der-naturheilpraktiker.de/</x:v>
      </x:c>
      <x:c r="W40" s="46" t="str">
        <x:v>Manuell im Browser zusätzlich über Praxisdomain, Name, PLZ und konkrete Anschrift gegengeprüft. visible page text near matching postal code; checked 5 page(s)</x:v>
      </x:c>
      <x:c r="X40" s="46" t="str"/>
      <x:c r="Y40" s="46" t="str">
        <x:v>yes</x:v>
      </x:c>
      <x:c r="Z40" s="45" t="str">
        <x:v>offen</x:v>
      </x:c>
      <x:c r="AA40" s="45" t="str"/>
      <x:c r="AB40" s="46" t="n">
        <x:f>IF(LEN(U40)&gt;0,1,0)</x:f>
        <x:v>0</x:v>
      </x:c>
    </x:row>
    <x:row r="41">
      <x:c r="A41" s="44" t="n">
        <x:v>3</x:v>
      </x:c>
      <x:c r="B41" s="44" t="str">
        <x:v>3 – Wahrscheinlich</x:v>
      </x:c>
      <x:c r="C41" s="47" t="str">
        <x:v>1097</x:v>
      </x:c>
      <x:c r="D41" s="46" t="str">
        <x:v>Dr. Rainer Mutschler</x:v>
      </x:c>
      <x:c r="E41" s="46" t="str"/>
      <x:c r="F41" s="46" t="str">
        <x:v>biomedical-center.de</x:v>
      </x:c>
      <x:c r="G41" s="46" t="str">
        <x:v>DE</x:v>
      </x:c>
      <x:c r="H41" s="48" t="str">
        <x:v>67346</x:v>
      </x:c>
      <x:c r="I41" s="46" t="str">
        <x:v>DE</x:v>
      </x:c>
      <x:c r="J41" s="48" t="str">
        <x:v>67346</x:v>
      </x:c>
      <x:c r="K41" s="46" t="str">
        <x:v>Speyer</x:v>
      </x:c>
      <x:c r="L41" s="46" t="str">
        <x:v>Carl-Dupré-Str.</x:v>
      </x:c>
      <x:c r="M41" s="46" t="str">
        <x:v>1</x:v>
      </x:c>
      <x:c r="N41" s="46" t="str">
        <x:v>Carl-Dupré-Str. 1, 67346 Speyer</x:v>
      </x:c>
      <x:c r="O41" s="46" t="str">
        <x:v>yes</x:v>
      </x:c>
      <x:c r="P41" s="46" t="str">
        <x:v>probable</x:v>
      </x:c>
      <x:c r="Q41" s="46" t="str">
        <x:v>high</x:v>
      </x:c>
      <x:c r="R41" s="46" t="str"/>
      <x:c r="S41" s="46" t="str">
        <x:v>no</x:v>
      </x:c>
      <x:c r="T41" s="46" t="str"/>
      <x:c r="U41" s="46" t="str"/>
      <x:c r="V41" s="46" t="str">
        <x:v>https://biomedical-center.de/</x:v>
      </x:c>
      <x:c r="W41" s="46" t="str">
        <x:v>Manuell im Browser zusätzlich über Praxisdomain, Name, PLZ und konkrete Anschrift gegengeprüft. visible page text near matching postal code; checked 4 page(s)</x:v>
      </x:c>
      <x:c r="X41" s="46" t="str"/>
      <x:c r="Y41" s="46" t="str">
        <x:v>yes</x:v>
      </x:c>
      <x:c r="Z41" s="45" t="str">
        <x:v>offen</x:v>
      </x:c>
      <x:c r="AA41" s="45" t="str"/>
      <x:c r="AB41" s="46" t="n">
        <x:f>IF(LEN(U41)&gt;0,1,0)</x:f>
        <x:v>0</x:v>
      </x:c>
    </x:row>
    <x:row r="42">
      <x:c r="A42" s="44" t="n">
        <x:v>3</x:v>
      </x:c>
      <x:c r="B42" s="44" t="str">
        <x:v>3 – Wahrscheinlich</x:v>
      </x:c>
      <x:c r="C42" s="47" t="str">
        <x:v>1098</x:v>
      </x:c>
      <x:c r="D42" s="46" t="str">
        <x:v>Alexandra von Zitzewitz</x:v>
      </x:c>
      <x:c r="E42" s="46" t="str"/>
      <x:c r="F42" s="46" t="str">
        <x:v>www.hpu-praxis.de</x:v>
      </x:c>
      <x:c r="G42" s="46" t="str">
        <x:v>DE</x:v>
      </x:c>
      <x:c r="H42" s="48" t="str">
        <x:v>68165</x:v>
      </x:c>
      <x:c r="I42" s="46" t="str">
        <x:v>DE</x:v>
      </x:c>
      <x:c r="J42" s="48" t="str">
        <x:v>68165</x:v>
      </x:c>
      <x:c r="K42" s="46" t="str">
        <x:v>Mannheim</x:v>
      </x:c>
      <x:c r="L42" s="46" t="str">
        <x:v>Leibnizstraße</x:v>
      </x:c>
      <x:c r="M42" s="46" t="str">
        <x:v>3</x:v>
      </x:c>
      <x:c r="N42" s="46" t="str">
        <x:v>Leibnizstraße 3, 68165 Mannheim</x:v>
      </x:c>
      <x:c r="O42" s="46" t="str">
        <x:v>yes</x:v>
      </x:c>
      <x:c r="P42" s="46" t="str">
        <x:v>probable</x:v>
      </x:c>
      <x:c r="Q42" s="46" t="str">
        <x:v>high</x:v>
      </x:c>
      <x:c r="R42" s="46" t="str"/>
      <x:c r="S42" s="46" t="str">
        <x:v>no</x:v>
      </x:c>
      <x:c r="T42" s="46" t="str"/>
      <x:c r="U42" s="46" t="str"/>
      <x:c r="V42" s="46" t="str">
        <x:v>https://www.hpu-praxis.de/</x:v>
      </x:c>
      <x:c r="W42" s="46" t="str">
        <x:v>Manuell im Browser zusätzlich über Praxisdomain, Name, PLZ und konkrete Anschrift gegengeprüft. visible page text near matching postal code; checked 3 page(s)</x:v>
      </x:c>
      <x:c r="X42" s="46" t="str"/>
      <x:c r="Y42" s="46" t="str">
        <x:v>yes</x:v>
      </x:c>
      <x:c r="Z42" s="45" t="str">
        <x:v>offen</x:v>
      </x:c>
      <x:c r="AA42" s="45" t="str"/>
      <x:c r="AB42" s="46" t="n">
        <x:f>IF(LEN(U42)&gt;0,1,0)</x:f>
        <x:v>0</x:v>
      </x:c>
    </x:row>
    <x:row r="43">
      <x:c r="A43" s="44" t="n">
        <x:v>3</x:v>
      </x:c>
      <x:c r="B43" s="44" t="str">
        <x:v>3 – Wahrscheinlich</x:v>
      </x:c>
      <x:c r="C43" s="47" t="str">
        <x:v>1103</x:v>
      </x:c>
      <x:c r="D43" s="46" t="str">
        <x:v>Olaf Görke</x:v>
      </x:c>
      <x:c r="E43" s="46" t="str"/>
      <x:c r="F43" s="46" t="str">
        <x:v>www.thebodyconcept.com</x:v>
      </x:c>
      <x:c r="G43" s="46" t="str">
        <x:v>DE</x:v>
      </x:c>
      <x:c r="H43" s="48" t="str">
        <x:v>73340</x:v>
      </x:c>
      <x:c r="I43" s="46" t="str">
        <x:v>DE</x:v>
      </x:c>
      <x:c r="J43" s="48" t="str">
        <x:v>73340</x:v>
      </x:c>
      <x:c r="K43" s="46" t="str">
        <x:v>Amstetten</x:v>
      </x:c>
      <x:c r="L43" s="46" t="str">
        <x:v>Hauptstraße</x:v>
      </x:c>
      <x:c r="M43" s="46" t="str">
        <x:v>95</x:v>
      </x:c>
      <x:c r="N43" s="46" t="str">
        <x:v>Hauptstraße 95, 73340 Amstetten, Deutschland</x:v>
      </x:c>
      <x:c r="O43" s="46" t="str">
        <x:v>yes</x:v>
      </x:c>
      <x:c r="P43" s="46" t="str">
        <x:v>probable</x:v>
      </x:c>
      <x:c r="Q43" s="46" t="str">
        <x:v>high</x:v>
      </x:c>
      <x:c r="R43" s="46" t="str"/>
      <x:c r="S43" s="46" t="str">
        <x:v>no</x:v>
      </x:c>
      <x:c r="T43" s="46" t="str"/>
      <x:c r="U43" s="46" t="str"/>
      <x:c r="V43" s="46" t="str">
        <x:v>https://www.google.com/search?q=Olaf+G%C3%B6rke+thebodyconcept+73340+Adresse</x:v>
      </x:c>
      <x:c r="W43" s="46" t="str">
        <x:v>Manuell im Browser geprüft: Google-Unternehmensprofil nennt THEBODYCONCEPT, Hauptstraße 95, 73340 Amstetten; Domain stimmt überein. Ursprungswebsite lieferte HTTP 502.</x:v>
      </x:c>
      <x:c r="X43" s="46" t="str"/>
      <x:c r="Y43" s="46" t="str">
        <x:v>yes</x:v>
      </x:c>
      <x:c r="Z43" s="45" t="str">
        <x:v>offen</x:v>
      </x:c>
      <x:c r="AA43" s="45" t="str"/>
      <x:c r="AB43" s="46" t="n">
        <x:f>IF(LEN(U43)&gt;0,1,0)</x:f>
        <x:v>0</x:v>
      </x:c>
    </x:row>
    <x:row r="44">
      <x:c r="A44" s="44" t="n">
        <x:v>3</x:v>
      </x:c>
      <x:c r="B44" s="44" t="str">
        <x:v>3 – Wahrscheinlich</x:v>
      </x:c>
      <x:c r="C44" s="47" t="str">
        <x:v>1108</x:v>
      </x:c>
      <x:c r="D44" s="46" t="str">
        <x:v>Guido Klöpper</x:v>
      </x:c>
      <x:c r="E44" s="46" t="str"/>
      <x:c r="F44" s="46" t="str">
        <x:v>naturomed-praxis.de</x:v>
      </x:c>
      <x:c r="G44" s="46" t="str">
        <x:v>DE</x:v>
      </x:c>
      <x:c r="H44" s="48" t="str">
        <x:v>78351</x:v>
      </x:c>
      <x:c r="I44" s="46" t="str">
        <x:v>DE</x:v>
      </x:c>
      <x:c r="J44" s="48" t="str">
        <x:v>78351</x:v>
      </x:c>
      <x:c r="K44" s="46" t="str">
        <x:v>Bodman-Ludwigshafen</x:v>
      </x:c>
      <x:c r="L44" s="46" t="str">
        <x:v>Sommerhalde</x:v>
      </x:c>
      <x:c r="M44" s="46" t="str">
        <x:v>10</x:v>
      </x:c>
      <x:c r="N44" s="46" t="str">
        <x:v>Sommerhalde 10, 78351 Bodman-Ludwigshafen, DE</x:v>
      </x:c>
      <x:c r="O44" s="46" t="str">
        <x:v>yes</x:v>
      </x:c>
      <x:c r="P44" s="46" t="str">
        <x:v>probable</x:v>
      </x:c>
      <x:c r="Q44" s="46" t="str">
        <x:v>high</x:v>
      </x:c>
      <x:c r="R44" s="46" t="str"/>
      <x:c r="S44" s="46" t="str">
        <x:v>no</x:v>
      </x:c>
      <x:c r="T44" s="46" t="str"/>
      <x:c r="U44" s="46" t="str"/>
      <x:c r="V44" s="46" t="str">
        <x:v>https://www.naturomed-praxis.de/</x:v>
      </x:c>
      <x:c r="W44" s="46" t="str">
        <x:v>Manuell im Browser zusätzlich über Praxisdomain, Name, PLZ und konkrete Anschrift gegengeprüft. JSON-LD address; checked 5 page(s)</x:v>
      </x:c>
      <x:c r="X44" s="46" t="str"/>
      <x:c r="Y44" s="46" t="str">
        <x:v>yes</x:v>
      </x:c>
      <x:c r="Z44" s="45" t="str">
        <x:v>offen</x:v>
      </x:c>
      <x:c r="AA44" s="45" t="str"/>
      <x:c r="AB44" s="46" t="n">
        <x:f>IF(LEN(U44)&gt;0,1,0)</x:f>
        <x:v>0</x:v>
      </x:c>
    </x:row>
    <x:row r="45">
      <x:c r="A45" s="44" t="n">
        <x:v>3</x:v>
      </x:c>
      <x:c r="B45" s="44" t="str">
        <x:v>3 – Wahrscheinlich</x:v>
      </x:c>
      <x:c r="C45" s="47" t="str">
        <x:v>1110</x:v>
      </x:c>
      <x:c r="D45" s="46" t="str">
        <x:v>Dr. Antonie M. Haas</x:v>
      </x:c>
      <x:c r="E45" s="46" t="str"/>
      <x:c r="F45" s="46" t="str">
        <x:v>www.jameda.de</x:v>
      </x:c>
      <x:c r="G45" s="46" t="str">
        <x:v>DE</x:v>
      </x:c>
      <x:c r="H45" s="48" t="str">
        <x:v>79117</x:v>
      </x:c>
      <x:c r="I45" s="46" t="str">
        <x:v>DE</x:v>
      </x:c>
      <x:c r="J45" s="48" t="str">
        <x:v>79117</x:v>
      </x:c>
      <x:c r="K45" s="46" t="str">
        <x:v>Freiburg im Breisgau</x:v>
      </x:c>
      <x:c r="L45" s="46" t="str">
        <x:v>Lindenmattenstraße</x:v>
      </x:c>
      <x:c r="M45" s="46" t="str">
        <x:v>33a</x:v>
      </x:c>
      <x:c r="N45" s="46" t="str">
        <x:v>Lindenmattenstraße 33a, 79117 Freiburg im Breisgau, DE</x:v>
      </x:c>
      <x:c r="O45" s="46" t="str">
        <x:v>yes</x:v>
      </x:c>
      <x:c r="P45" s="46" t="str">
        <x:v>probable</x:v>
      </x:c>
      <x:c r="Q45" s="46" t="str">
        <x:v>high</x:v>
      </x:c>
      <x:c r="R45" s="46" t="str"/>
      <x:c r="S45" s="46" t="str">
        <x:v>no</x:v>
      </x:c>
      <x:c r="T45" s="46" t="str"/>
      <x:c r="U45" s="46" t="str"/>
      <x:c r="V45" s="46" t="str">
        <x:v>https://www.bing.com/search?q=Dr.+Antonie+M.+Haas+79117+Adresse</x:v>
      </x:c>
      <x:c r="W45" s="46" t="str">
        <x:v>Unternehmensprofil und Ärzteverzeichnis nennen Dr. Antonie M. Haas, Lindenmattenstraße 33a, 79117 Freiburg.</x:v>
      </x:c>
      <x:c r="X45" s="46" t="str"/>
      <x:c r="Y45" s="46" t="str">
        <x:v>yes</x:v>
      </x:c>
      <x:c r="Z45" s="45" t="str">
        <x:v>offen</x:v>
      </x:c>
      <x:c r="AA45" s="45" t="str"/>
      <x:c r="AB45" s="46" t="n">
        <x:f>IF(LEN(U45)&gt;0,1,0)</x:f>
        <x:v>0</x:v>
      </x:c>
    </x:row>
    <x:row r="46">
      <x:c r="A46" s="44" t="n">
        <x:v>3</x:v>
      </x:c>
      <x:c r="B46" s="44" t="str">
        <x:v>3 – Wahrscheinlich</x:v>
      </x:c>
      <x:c r="C46" s="47" t="str">
        <x:v>1111</x:v>
      </x:c>
      <x:c r="D46" s="46" t="str">
        <x:v>Dr. Wilfried Bieger</x:v>
      </x:c>
      <x:c r="E46" s="46" t="str"/>
      <x:c r="F46" s="46" t="str">
        <x:v>Dr-bieger.de</x:v>
      </x:c>
      <x:c r="G46" s="46" t="str">
        <x:v>DE</x:v>
      </x:c>
      <x:c r="H46" s="48" t="str">
        <x:v>80333</x:v>
      </x:c>
      <x:c r="I46" s="46" t="str">
        <x:v>DE</x:v>
      </x:c>
      <x:c r="J46" s="48" t="str">
        <x:v>80333</x:v>
      </x:c>
      <x:c r="K46" s="46" t="str">
        <x:v>München</x:v>
      </x:c>
      <x:c r="L46" s="46" t="str">
        <x:v>Augustenstr.</x:v>
      </x:c>
      <x:c r="M46" s="46" t="str">
        <x:v>10</x:v>
      </x:c>
      <x:c r="N46" s="46" t="str">
        <x:v>Augustenstr. 10, 80333 München</x:v>
      </x:c>
      <x:c r="O46" s="46" t="str">
        <x:v>yes</x:v>
      </x:c>
      <x:c r="P46" s="46" t="str">
        <x:v>probable</x:v>
      </x:c>
      <x:c r="Q46" s="46" t="str">
        <x:v>high</x:v>
      </x:c>
      <x:c r="R46" s="46" t="str"/>
      <x:c r="S46" s="46" t="str">
        <x:v>no</x:v>
      </x:c>
      <x:c r="T46" s="46" t="str"/>
      <x:c r="U46" s="46" t="str"/>
      <x:c r="V46" s="46" t="str">
        <x:v>https://dr-bieger.de/impressum/</x:v>
      </x:c>
      <x:c r="W46" s="46" t="str">
        <x:v>Manuell im Browser zusätzlich über Praxisdomain, Name, PLZ und konkrete Anschrift gegengeprüft. visible page text near matching postal code; checked 3 page(s)</x:v>
      </x:c>
      <x:c r="X46" s="46" t="str"/>
      <x:c r="Y46" s="46" t="str">
        <x:v>yes</x:v>
      </x:c>
      <x:c r="Z46" s="45" t="str">
        <x:v>offen</x:v>
      </x:c>
      <x:c r="AA46" s="45" t="str"/>
      <x:c r="AB46" s="46" t="n">
        <x:f>IF(LEN(U46)&gt;0,1,0)</x:f>
        <x:v>0</x:v>
      </x:c>
    </x:row>
    <x:row r="47">
      <x:c r="A47" s="44" t="n">
        <x:v>3</x:v>
      </x:c>
      <x:c r="B47" s="44" t="str">
        <x:v>3 – Wahrscheinlich</x:v>
      </x:c>
      <x:c r="C47" s="47" t="str">
        <x:v>1117</x:v>
      </x:c>
      <x:c r="D47" s="46" t="str">
        <x:v>Dr. Petra Gerheuser</x:v>
      </x:c>
      <x:c r="E47" s="46" t="str"/>
      <x:c r="F47" s="46" t="str">
        <x:v>www.tcm-praxis-gerheuser.de</x:v>
      </x:c>
      <x:c r="G47" s="46" t="str">
        <x:v>DE</x:v>
      </x:c>
      <x:c r="H47" s="48" t="str">
        <x:v>86150</x:v>
      </x:c>
      <x:c r="I47" s="46" t="str">
        <x:v>DE</x:v>
      </x:c>
      <x:c r="J47" s="48" t="str">
        <x:v>86150</x:v>
      </x:c>
      <x:c r="K47" s="46" t="str">
        <x:v>Augsburg</x:v>
      </x:c>
      <x:c r="L47" s="46" t="str">
        <x:v>Maximilianstraße</x:v>
      </x:c>
      <x:c r="M47" s="46" t="str">
        <x:v>43</x:v>
      </x:c>
      <x:c r="N47" s="46" t="str">
        <x:v>Maximilianstraße 43, 86150 Augsburg, DE</x:v>
      </x:c>
      <x:c r="O47" s="46" t="str">
        <x:v>yes</x:v>
      </x:c>
      <x:c r="P47" s="46" t="str">
        <x:v>probable</x:v>
      </x:c>
      <x:c r="Q47" s="46" t="str">
        <x:v>high</x:v>
      </x:c>
      <x:c r="R47" s="46" t="str"/>
      <x:c r="S47" s="46" t="str">
        <x:v>no</x:v>
      </x:c>
      <x:c r="T47" s="46" t="str"/>
      <x:c r="U47" s="46" t="str"/>
      <x:c r="V47" s="46" t="str">
        <x:v>http://www.tcm-praxis-gerheuser.de/</x:v>
      </x:c>
      <x:c r="W47" s="46" t="str">
        <x:v>Praxisdomain und mehrere Treffer nennen Dr. Petra Gerheuser, Maximilianstraße 43, 86150 Augsburg.</x:v>
      </x:c>
      <x:c r="X47" s="46" t="str"/>
      <x:c r="Y47" s="46" t="str">
        <x:v>yes</x:v>
      </x:c>
      <x:c r="Z47" s="45" t="str">
        <x:v>offen</x:v>
      </x:c>
      <x:c r="AA47" s="45" t="str"/>
      <x:c r="AB47" s="46" t="n">
        <x:f>IF(LEN(U47)&gt;0,1,0)</x:f>
        <x:v>0</x:v>
      </x:c>
    </x:row>
    <x:row r="48">
      <x:c r="A48" s="44" t="n">
        <x:v>3</x:v>
      </x:c>
      <x:c r="B48" s="44" t="str">
        <x:v>3 – Wahrscheinlich</x:v>
      </x:c>
      <x:c r="C48" s="47" t="str">
        <x:v>1119</x:v>
      </x:c>
      <x:c r="D48" s="46" t="str">
        <x:v>Dr. Christina Lang</x:v>
      </x:c>
      <x:c r="E48" s="46" t="str"/>
      <x:c r="F48" s="46" t="str">
        <x:v>www.aerzte.de</x:v>
      </x:c>
      <x:c r="G48" s="46" t="str">
        <x:v>DE</x:v>
      </x:c>
      <x:c r="H48" s="48" t="str">
        <x:v>89081</x:v>
      </x:c>
      <x:c r="I48" s="46" t="str">
        <x:v>DE</x:v>
      </x:c>
      <x:c r="J48" s="48" t="str">
        <x:v>89081</x:v>
      </x:c>
      <x:c r="K48" s="46" t="str">
        <x:v>Ulm</x:v>
      </x:c>
      <x:c r="L48" s="46" t="str">
        <x:v>Oberer Eselsberg</x:v>
      </x:c>
      <x:c r="M48" s="46" t="str">
        <x:v>45</x:v>
      </x:c>
      <x:c r="N48" s="46" t="str">
        <x:v>Oberer Eselsberg 45, 89081 Ulm, DE</x:v>
      </x:c>
      <x:c r="O48" s="46" t="str">
        <x:v>yes</x:v>
      </x:c>
      <x:c r="P48" s="46" t="str">
        <x:v>probable</x:v>
      </x:c>
      <x:c r="Q48" s="46" t="str">
        <x:v>medium</x:v>
      </x:c>
      <x:c r="R48" s="46" t="str"/>
      <x:c r="S48" s="46" t="str">
        <x:v>no</x:v>
      </x:c>
      <x:c r="T48" s="46" t="str"/>
      <x:c r="U48" s="46" t="str"/>
      <x:c r="V48" s="46" t="str">
        <x:v>https://www.aerzte.de/ulm/baden-wuerttemberg/fa-fuer-neurologie/dr-christina-lang</x:v>
      </x:c>
      <x:c r="W48" s="46" t="str">
        <x:v>Mehrere Verzeichnistreffer nennen Dr. Christina Lang, Oberer Eselsberg 45, 89081 Ulm.</x:v>
      </x:c>
      <x:c r="X48" s="46" t="str"/>
      <x:c r="Y48" s="46" t="str">
        <x:v>yes</x:v>
      </x:c>
      <x:c r="Z48" s="45" t="str">
        <x:v>offen</x:v>
      </x:c>
      <x:c r="AA48" s="45" t="str"/>
      <x:c r="AB48" s="46" t="n">
        <x:f>IF(LEN(U48)&gt;0,1,0)</x:f>
        <x:v>0</x:v>
      </x:c>
    </x:row>
    <x:row r="49">
      <x:c r="A49" s="44" t="n">
        <x:v>3</x:v>
      </x:c>
      <x:c r="B49" s="44" t="str">
        <x:v>3 – Wahrscheinlich</x:v>
      </x:c>
      <x:c r="C49" s="47" t="str">
        <x:v>1120</x:v>
      </x:c>
      <x:c r="D49" s="46" t="str">
        <x:v>Dr. Carina Petrasek</x:v>
      </x:c>
      <x:c r="E49" s="46" t="str"/>
      <x:c r="F49" s="46" t="str">
        <x:v>individuellegesundheit.de</x:v>
      </x:c>
      <x:c r="G49" s="46" t="str">
        <x:v>DE</x:v>
      </x:c>
      <x:c r="H49" s="48" t="str">
        <x:v>90469</x:v>
      </x:c>
      <x:c r="I49" s="46" t="str">
        <x:v>DE</x:v>
      </x:c>
      <x:c r="J49" s="48" t="str">
        <x:v>90469</x:v>
      </x:c>
      <x:c r="K49" s="46" t="str">
        <x:v>Nürnberg</x:v>
      </x:c>
      <x:c r="L49" s="46" t="str">
        <x:v>Germersheimer Straße</x:v>
      </x:c>
      <x:c r="M49" s="46" t="str">
        <x:v>115</x:v>
      </x:c>
      <x:c r="N49" s="46" t="str">
        <x:v>Germersheimer Straße 115, 90469 Nürnberg, DE</x:v>
      </x:c>
      <x:c r="O49" s="46" t="str">
        <x:v>yes</x:v>
      </x:c>
      <x:c r="P49" s="46" t="str">
        <x:v>probable</x:v>
      </x:c>
      <x:c r="Q49" s="46" t="str">
        <x:v>high</x:v>
      </x:c>
      <x:c r="R49" s="46" t="str"/>
      <x:c r="S49" s="46" t="str">
        <x:v>no</x:v>
      </x:c>
      <x:c r="T49" s="46" t="str"/>
      <x:c r="U49" s="46" t="str"/>
      <x:c r="V49" s="46" t="str">
        <x:v>http://www.individuellegesundheit.de/</x:v>
      </x:c>
      <x:c r="W49" s="46" t="str">
        <x:v>Praxisdomain, Unternehmensprofil und Verzeichnistreffer nennen Dr. Carina Petrasek, Germersheimer Straße 115, 90469 Nürnberg.</x:v>
      </x:c>
      <x:c r="X49" s="46" t="str"/>
      <x:c r="Y49" s="46" t="str">
        <x:v>yes</x:v>
      </x:c>
      <x:c r="Z49" s="45" t="str">
        <x:v>offen</x:v>
      </x:c>
      <x:c r="AA49" s="45" t="str"/>
      <x:c r="AB49" s="46" t="n">
        <x:f>IF(LEN(U49)&gt;0,1,0)</x:f>
        <x:v>0</x:v>
      </x:c>
    </x:row>
    <x:row r="50">
      <x:c r="A50" s="44" t="n">
        <x:v>3</x:v>
      </x:c>
      <x:c r="B50" s="44" t="str">
        <x:v>3 – Wahrscheinlich</x:v>
      </x:c>
      <x:c r="C50" s="47" t="str">
        <x:v>1125</x:v>
      </x:c>
      <x:c r="D50" s="46" t="str">
        <x:v>Dr. Stark</x:v>
      </x:c>
      <x:c r="E50" s="46" t="str"/>
      <x:c r="F50" s="46" t="str">
        <x:v>prof-stark.de</x:v>
      </x:c>
      <x:c r="G50" s="46" t="str">
        <x:v>DE</x:v>
      </x:c>
      <x:c r="H50" s="48" t="str">
        <x:v>20144</x:v>
      </x:c>
      <x:c r="I50" s="46" t="str">
        <x:v>DE</x:v>
      </x:c>
      <x:c r="J50" s="48" t="str">
        <x:v>20144</x:v>
      </x:c>
      <x:c r="K50" s="46" t="str">
        <x:v>Hamburg</x:v>
      </x:c>
      <x:c r="L50" s="46" t="str">
        <x:v>Beim Schlump</x:v>
      </x:c>
      <x:c r="M50" s="46" t="str">
        <x:v>29</x:v>
      </x:c>
      <x:c r="N50" s="46" t="str">
        <x:v>Beim Schlump 29, 20144 Hamburg, DE</x:v>
      </x:c>
      <x:c r="O50" s="46" t="str">
        <x:v>yes</x:v>
      </x:c>
      <x:c r="P50" s="46" t="str">
        <x:v>probable</x:v>
      </x:c>
      <x:c r="Q50" s="46" t="str">
        <x:v>high</x:v>
      </x:c>
      <x:c r="R50" s="46" t="str"/>
      <x:c r="S50" s="46" t="str">
        <x:v>no</x:v>
      </x:c>
      <x:c r="T50" s="46" t="str"/>
      <x:c r="U50" s="46" t="str"/>
      <x:c r="V50" s="46" t="str">
        <x:v>https://prof-stark.de/kontakt/</x:v>
      </x:c>
      <x:c r="W50" s="46" t="str">
        <x:v>Offizielle Kontaktseite und Arzt-Auskunft nennen Prof. Dr. Michael Stark, Beim Schlump 29, 20144 Hamburg.</x:v>
      </x:c>
      <x:c r="X50" s="46" t="str"/>
      <x:c r="Y50" s="46" t="str">
        <x:v>yes</x:v>
      </x:c>
      <x:c r="Z50" s="45" t="str">
        <x:v>offen</x:v>
      </x:c>
      <x:c r="AA50" s="45" t="str"/>
      <x:c r="AB50" s="46" t="n">
        <x:f>IF(LEN(U50)&gt;0,1,0)</x:f>
        <x:v>0</x:v>
      </x:c>
    </x:row>
    <x:row r="51">
      <x:c r="A51" s="44" t="n">
        <x:v>3</x:v>
      </x:c>
      <x:c r="B51" s="44" t="str">
        <x:v>3 – Wahrscheinlich</x:v>
      </x:c>
      <x:c r="C51" s="47" t="str">
        <x:v>1130</x:v>
      </x:c>
      <x:c r="D51" s="46" t="str">
        <x:v>Medissimo Arztpraxis</x:v>
      </x:c>
      <x:c r="E51" s="46" t="str">
        <x:v>Medissimo Arztpraxis</x:v>
      </x:c>
      <x:c r="F51" s="46" t="str">
        <x:v>www.medissimo-hannover.de</x:v>
      </x:c>
      <x:c r="G51" s="46" t="str">
        <x:v>DE</x:v>
      </x:c>
      <x:c r="H51" s="48" t="str">
        <x:v>30177</x:v>
      </x:c>
      <x:c r="I51" s="46" t="str">
        <x:v>DE</x:v>
      </x:c>
      <x:c r="J51" s="48" t="str">
        <x:v>30177</x:v>
      </x:c>
      <x:c r="K51" s="46" t="str">
        <x:v>Hannover</x:v>
      </x:c>
      <x:c r="L51" s="46" t="str">
        <x:v>Günther-Wagner-Allee</x:v>
      </x:c>
      <x:c r="M51" s="46" t="str">
        <x:v>5</x:v>
      </x:c>
      <x:c r="N51" s="46" t="str">
        <x:v>Günther-Wagner-Allee 5, 30177 Hannover, DE</x:v>
      </x:c>
      <x:c r="O51" s="46" t="str">
        <x:v>yes</x:v>
      </x:c>
      <x:c r="P51" s="46" t="str">
        <x:v>probable</x:v>
      </x:c>
      <x:c r="Q51" s="46" t="str">
        <x:v>high</x:v>
      </x:c>
      <x:c r="R51" s="46" t="str"/>
      <x:c r="S51" s="46" t="str">
        <x:v>no</x:v>
      </x:c>
      <x:c r="T51" s="46" t="str"/>
      <x:c r="U51" s="46" t="str"/>
      <x:c r="V51" s="46" t="str">
        <x:v>https://www.medissimo-hannover.de/praxis</x:v>
      </x:c>
      <x:c r="W51" s="46" t="str">
        <x:v>Offizielle Praxisseite nennt medissimo, Günther-Wagner-Allee 5, 30177 Hannover.</x:v>
      </x:c>
      <x:c r="X51" s="46" t="str"/>
      <x:c r="Y51" s="46" t="str">
        <x:v>yes</x:v>
      </x:c>
      <x:c r="Z51" s="45" t="str">
        <x:v>offen</x:v>
      </x:c>
      <x:c r="AA51" s="45" t="str"/>
      <x:c r="AB51" s="46" t="n">
        <x:f>IF(LEN(U51)&gt;0,1,0)</x:f>
        <x:v>0</x:v>
      </x:c>
    </x:row>
    <x:row r="52">
      <x:c r="A52" s="44" t="n">
        <x:v>3</x:v>
      </x:c>
      <x:c r="B52" s="44" t="str">
        <x:v>3 – Wahrscheinlich</x:v>
      </x:c>
      <x:c r="C52" s="47" t="str">
        <x:v>1140</x:v>
      </x:c>
      <x:c r="D52" s="46" t="str">
        <x:v>Hellstern bei Medivitum</x:v>
      </x:c>
      <x:c r="E52" s="46" t="str">
        <x:v>Hellstern bei Medivitum</x:v>
      </x:c>
      <x:c r="F52" s="46" t="str">
        <x:v>www.medivitum-wiesbaden.de</x:v>
      </x:c>
      <x:c r="G52" s="46" t="str">
        <x:v>DE</x:v>
      </x:c>
      <x:c r="H52" s="48" t="str">
        <x:v>65185</x:v>
      </x:c>
      <x:c r="I52" s="46" t="str">
        <x:v>DE</x:v>
      </x:c>
      <x:c r="J52" s="48" t="str">
        <x:v>65185</x:v>
      </x:c>
      <x:c r="K52" s="46" t="str">
        <x:v>Wiesbaden</x:v>
      </x:c>
      <x:c r="L52" s="46" t="str">
        <x:v>Rheinstraße</x:v>
      </x:c>
      <x:c r="M52" s="46" t="str">
        <x:v>31</x:v>
      </x:c>
      <x:c r="N52" s="46" t="str">
        <x:v>Rheinstraße 31, 65185 Wiesbaden</x:v>
      </x:c>
      <x:c r="O52" s="46" t="str">
        <x:v>yes</x:v>
      </x:c>
      <x:c r="P52" s="46" t="str">
        <x:v>probable</x:v>
      </x:c>
      <x:c r="Q52" s="46" t="str">
        <x:v>high</x:v>
      </x:c>
      <x:c r="R52" s="46" t="str"/>
      <x:c r="S52" s="46" t="str">
        <x:v>no</x:v>
      </x:c>
      <x:c r="T52" s="46" t="str"/>
      <x:c r="U52" s="46" t="str"/>
      <x:c r="V52" s="46" t="str">
        <x:v>https://www.medivitum-wiesbaden.de/</x:v>
      </x:c>
      <x:c r="W52" s="46" t="str">
        <x:v>Manuell im Browser zusätzlich über Praxisdomain, Name, PLZ und konkrete Anschrift gegengeprüft. visible page text near matching postal code; checked 4 page(s)</x:v>
      </x:c>
      <x:c r="X52" s="46" t="str"/>
      <x:c r="Y52" s="46" t="str">
        <x:v>yes</x:v>
      </x:c>
      <x:c r="Z52" s="45" t="str">
        <x:v>offen</x:v>
      </x:c>
      <x:c r="AA52" s="45" t="str"/>
      <x:c r="AB52" s="46" t="n">
        <x:f>IF(LEN(U52)&gt;0,1,0)</x:f>
        <x:v>0</x:v>
      </x:c>
    </x:row>
    <x:row r="53">
      <x:c r="A53" s="44" t="n">
        <x:v>3</x:v>
      </x:c>
      <x:c r="B53" s="44" t="str">
        <x:v>3 – Wahrscheinlich</x:v>
      </x:c>
      <x:c r="C53" s="47" t="str">
        <x:v>1143</x:v>
      </x:c>
      <x:c r="D53" s="46" t="str">
        <x:v>Dr. B. Luchting</x:v>
      </x:c>
      <x:c r="E53" s="46" t="str"/>
      <x:c r="F53" s="46" t="str">
        <x:v>www.muenchen-klinik.de</x:v>
      </x:c>
      <x:c r="G53" s="46" t="str">
        <x:v>DE</x:v>
      </x:c>
      <x:c r="H53" s="48" t="str">
        <x:v>80804</x:v>
      </x:c>
      <x:c r="I53" s="46" t="str">
        <x:v>DE</x:v>
      </x:c>
      <x:c r="J53" s="48" t="str">
        <x:v>80804</x:v>
      </x:c>
      <x:c r="K53" s="46" t="str">
        <x:v>München</x:v>
      </x:c>
      <x:c r="L53" s="46" t="str">
        <x:v>Kölner Platz</x:v>
      </x:c>
      <x:c r="M53" s="46" t="str">
        <x:v>1</x:v>
      </x:c>
      <x:c r="N53" s="46" t="str">
        <x:v>Kölner Platz 1, 80804 München, DE</x:v>
      </x:c>
      <x:c r="O53" s="46" t="str">
        <x:v>yes</x:v>
      </x:c>
      <x:c r="P53" s="46" t="str">
        <x:v>probable</x:v>
      </x:c>
      <x:c r="Q53" s="46" t="str">
        <x:v>medium</x:v>
      </x:c>
      <x:c r="R53" s="46" t="str"/>
      <x:c r="S53" s="46" t="str">
        <x:v>no</x:v>
      </x:c>
      <x:c r="T53" s="46" t="str"/>
      <x:c r="U53" s="46" t="str"/>
      <x:c r="V53" s="46" t="str">
        <x:v>https://www.muenchen-klinik.de/aerzte/pd-dr-med-benjamin-luchting/</x:v>
      </x:c>
      <x:c r="W53" s="46" t="str">
        <x:v>Mehrere Treffer einschließlich München Klinik nennen Prof. Dr. Benjamin Luchting, Kölner Platz 1, 80804 München.</x:v>
      </x:c>
      <x:c r="X53" s="46" t="str"/>
      <x:c r="Y53" s="46" t="str">
        <x:v>yes</x:v>
      </x:c>
      <x:c r="Z53" s="45" t="str">
        <x:v>offen</x:v>
      </x:c>
      <x:c r="AA53" s="45" t="str"/>
      <x:c r="AB53" s="46" t="n">
        <x:f>IF(LEN(U53)&gt;0,1,0)</x:f>
        <x:v>0</x:v>
      </x:c>
    </x:row>
    <x:row r="54">
      <x:c r="A54" s="44" t="n">
        <x:v>4</x:v>
      </x:c>
      <x:c r="B54" s="44" t="str">
        <x:v>4 – Direkt übernehmbar</x:v>
      </x:c>
      <x:c r="C54" s="47" t="str">
        <x:v>1055</x:v>
      </x:c>
      <x:c r="D54" s="46" t="str">
        <x:v>Dr. Dominik Vogel</x:v>
      </x:c>
      <x:c r="E54" s="46" t="str"/>
      <x:c r="F54" s="46" t="str">
        <x:v>www.internist-baden.at</x:v>
      </x:c>
      <x:c r="G54" s="46" t="str">
        <x:v>AT</x:v>
      </x:c>
      <x:c r="H54" s="48" t="str">
        <x:v>2500</x:v>
      </x:c>
      <x:c r="I54" s="46" t="str">
        <x:v>AT</x:v>
      </x:c>
      <x:c r="J54" s="48" t="str">
        <x:v>2500</x:v>
      </x:c>
      <x:c r="K54" s="46" t="str">
        <x:v>BADEN</x:v>
      </x:c>
      <x:c r="L54" s="46" t="str">
        <x:v>PELZGASSE</x:v>
      </x:c>
      <x:c r="M54" s="46" t="str">
        <x:v>18</x:v>
      </x:c>
      <x:c r="N54" s="46" t="str">
        <x:v>PELZGASSE 18, 2500 BADEN</x:v>
      </x:c>
      <x:c r="O54" s="46" t="str">
        <x:v>yes</x:v>
      </x:c>
      <x:c r="P54" s="46" t="str">
        <x:v>confirmed</x:v>
      </x:c>
      <x:c r="Q54" s="46" t="str">
        <x:v>high</x:v>
      </x:c>
      <x:c r="R54" s="46" t="str"/>
      <x:c r="S54" s="46" t="str">
        <x:v>no</x:v>
      </x:c>
      <x:c r="T54" s="46" t="str"/>
      <x:c r="U54" s="46" t="str"/>
      <x:c r="V54" s="46" t="str">
        <x:v>https://www.internist-baden.at/</x:v>
      </x:c>
      <x:c r="W54" s="46" t="str">
        <x:v>Manuell im Browser auf der dokumentierten offiziellen Praxis-/Kontaktseite bestätigt. visible page text near matching postal code; checked 1 page(s)</x:v>
      </x:c>
      <x:c r="X54" s="46" t="str"/>
      <x:c r="Y54" s="46" t="str">
        <x:v>yes</x:v>
      </x:c>
      <x:c r="Z54" s="45" t="str">
        <x:v>offen</x:v>
      </x:c>
      <x:c r="AA54" s="45" t="str"/>
      <x:c r="AB54" s="46" t="n">
        <x:f>IF(LEN(U54)&gt;0,1,0)</x:f>
        <x:v>0</x:v>
      </x:c>
    </x:row>
    <x:row r="55">
      <x:c r="A55" s="44" t="n">
        <x:v>4</x:v>
      </x:c>
      <x:c r="B55" s="44" t="str">
        <x:v>4 – Direkt übernehmbar</x:v>
      </x:c>
      <x:c r="C55" s="47" t="str">
        <x:v>1057</x:v>
      </x:c>
      <x:c r="D55" s="46" t="str">
        <x:v>Dr. Florian Strasser</x:v>
      </x:c>
      <x:c r="E55" s="46" t="str"/>
      <x:c r="F55" s="46" t="str">
        <x:v>www.onkologie-schaffhausen.ch</x:v>
      </x:c>
      <x:c r="G55" s="46" t="str">
        <x:v>CH</x:v>
      </x:c>
      <x:c r="H55" s="48" t="str">
        <x:v>8200</x:v>
      </x:c>
      <x:c r="I55" s="46" t="str">
        <x:v>CH</x:v>
      </x:c>
      <x:c r="J55" s="48" t="str">
        <x:v>8200</x:v>
      </x:c>
      <x:c r="K55" s="46" t="str">
        <x:v>Schaffhausen</x:v>
      </x:c>
      <x:c r="L55" s="46" t="str">
        <x:v>Rheinstrasse</x:v>
      </x:c>
      <x:c r="M55" s="46" t="str">
        <x:v>17</x:v>
      </x:c>
      <x:c r="N55" s="46" t="str">
        <x:v>Rheinstrasse 17, 8200 Schaffhausen, CH</x:v>
      </x:c>
      <x:c r="O55" s="46" t="str">
        <x:v>yes</x:v>
      </x:c>
      <x:c r="P55" s="46" t="str">
        <x:v>confirmed</x:v>
      </x:c>
      <x:c r="Q55" s="46" t="str">
        <x:v>high</x:v>
      </x:c>
      <x:c r="R55" s="46" t="str"/>
      <x:c r="S55" s="46" t="str">
        <x:v>no</x:v>
      </x:c>
      <x:c r="T55" s="46" t="str"/>
      <x:c r="U55" s="46" t="str"/>
      <x:c r="V55" s="46" t="str">
        <x:v>https://www.onkologie-schaffhausen.ch/</x:v>
      </x:c>
      <x:c r="W55" s="46" t="str">
        <x:v>Offizielle Website nennt Onkologie Schaffhausen, Rheinstrasse 17, CH-8200 Schaffhausen.</x:v>
      </x:c>
      <x:c r="X55" s="46" t="str"/>
      <x:c r="Y55" s="46" t="str">
        <x:v>yes</x:v>
      </x:c>
      <x:c r="Z55" s="45" t="str">
        <x:v>offen</x:v>
      </x:c>
      <x:c r="AA55" s="45" t="str"/>
      <x:c r="AB55" s="46" t="n">
        <x:f>IF(LEN(U55)&gt;0,1,0)</x:f>
        <x:v>0</x:v>
      </x:c>
    </x:row>
    <x:row r="56">
      <x:c r="A56" s="44" t="n">
        <x:v>4</x:v>
      </x:c>
      <x:c r="B56" s="44" t="str">
        <x:v>4 – Direkt übernehmbar</x:v>
      </x:c>
      <x:c r="C56" s="47" t="str">
        <x:v>1061</x:v>
      </x:c>
      <x:c r="D56" s="46" t="str">
        <x:v>Lydia Nickoleit</x:v>
      </x:c>
      <x:c r="E56" s="46" t="str"/>
      <x:c r="F56" s="46" t="str">
        <x:v>naturheilpraxis-nickoleit.de</x:v>
      </x:c>
      <x:c r="G56" s="46" t="str">
        <x:v>DE</x:v>
      </x:c>
      <x:c r="H56" s="48" t="str">
        <x:v>01157</x:v>
      </x:c>
      <x:c r="I56" s="46" t="str">
        <x:v>DE</x:v>
      </x:c>
      <x:c r="J56" s="48" t="str">
        <x:v>01157</x:v>
      </x:c>
      <x:c r="K56" s="46" t="str">
        <x:v>Dresden</x:v>
      </x:c>
      <x:c r="L56" s="46" t="str">
        <x:v>Alte Meißner Landstr.</x:v>
      </x:c>
      <x:c r="M56" s="46" t="str">
        <x:v>43</x:v>
      </x:c>
      <x:c r="N56" s="46" t="str">
        <x:v>Alte Meißner Landstr. 43, 01157 Dresden</x:v>
      </x:c>
      <x:c r="O56" s="46" t="str">
        <x:v>yes</x:v>
      </x:c>
      <x:c r="P56" s="46" t="str">
        <x:v>confirmed</x:v>
      </x:c>
      <x:c r="Q56" s="46" t="str">
        <x:v>high</x:v>
      </x:c>
      <x:c r="R56" s="46" t="str"/>
      <x:c r="S56" s="46" t="str">
        <x:v>no</x:v>
      </x:c>
      <x:c r="T56" s="46" t="str"/>
      <x:c r="U56" s="46" t="str"/>
      <x:c r="V56" s="46" t="str">
        <x:v>https://naturheilpraxis-nickoleit.de/impressum/</x:v>
      </x:c>
      <x:c r="W56" s="46" t="str">
        <x:v>Manuell im Browser auf der dokumentierten offiziellen Praxis-/Kontaktseite bestätigt. visible page text near matching postal code; checked 5 page(s)</x:v>
      </x:c>
      <x:c r="X56" s="46" t="str"/>
      <x:c r="Y56" s="46" t="str">
        <x:v>yes</x:v>
      </x:c>
      <x:c r="Z56" s="45" t="str">
        <x:v>offen</x:v>
      </x:c>
      <x:c r="AA56" s="45" t="str"/>
      <x:c r="AB56" s="46" t="n">
        <x:f>IF(LEN(U56)&gt;0,1,0)</x:f>
        <x:v>0</x:v>
      </x:c>
    </x:row>
    <x:row r="57">
      <x:c r="A57" s="44" t="n">
        <x:v>4</x:v>
      </x:c>
      <x:c r="B57" s="44" t="str">
        <x:v>4 – Direkt übernehmbar</x:v>
      </x:c>
      <x:c r="C57" s="47" t="str">
        <x:v>1062</x:v>
      </x:c>
      <x:c r="D57" s="46" t="str">
        <x:v>Dr. Josephine Reiche</x:v>
      </x:c>
      <x:c r="E57" s="46" t="str"/>
      <x:c r="F57" s="46" t="str">
        <x:v>drreiche.de</x:v>
      </x:c>
      <x:c r="G57" s="46" t="str">
        <x:v>DE</x:v>
      </x:c>
      <x:c r="H57" s="48" t="str">
        <x:v>13467</x:v>
      </x:c>
      <x:c r="I57" s="46" t="str">
        <x:v>DE</x:v>
      </x:c>
      <x:c r="J57" s="48" t="str">
        <x:v>13467</x:v>
      </x:c>
      <x:c r="K57" s="46" t="str">
        <x:v>Berlin</x:v>
      </x:c>
      <x:c r="L57" s="46" t="str">
        <x:v>© 2024 | Dr. med. Josephine Reiche | Robinienweg</x:v>
      </x:c>
      <x:c r="M57" s="46" t="str">
        <x:v>2</x:v>
      </x:c>
      <x:c r="N57" s="46" t="str">
        <x:v>© 2024 | Dr. med. Josephine Reiche | Robinienweg 2, 13467 Berlin</x:v>
      </x:c>
      <x:c r="O57" s="46" t="str">
        <x:v>yes</x:v>
      </x:c>
      <x:c r="P57" s="46" t="str">
        <x:v>confirmed</x:v>
      </x:c>
      <x:c r="Q57" s="46" t="str">
        <x:v>high</x:v>
      </x:c>
      <x:c r="R57" s="46" t="str"/>
      <x:c r="S57" s="46" t="str">
        <x:v>no</x:v>
      </x:c>
      <x:c r="T57" s="46" t="str"/>
      <x:c r="U57" s="46" t="str"/>
      <x:c r="V57" s="46" t="str">
        <x:v>https://drreiche.de/</x:v>
      </x:c>
      <x:c r="W57" s="46" t="str">
        <x:v>Manuell im Browser auf der dokumentierten offiziellen Praxis-/Kontaktseite bestätigt. visible page text near matching postal code; checked 5 page(s)</x:v>
      </x:c>
      <x:c r="X57" s="46" t="str"/>
      <x:c r="Y57" s="46" t="str">
        <x:v>yes</x:v>
      </x:c>
      <x:c r="Z57" s="45" t="str">
        <x:v>offen</x:v>
      </x:c>
      <x:c r="AA57" s="45" t="str"/>
      <x:c r="AB57" s="46" t="n">
        <x:f>IF(LEN(U57)&gt;0,1,0)</x:f>
        <x:v>0</x:v>
      </x:c>
    </x:row>
    <x:row r="58">
      <x:c r="A58" s="44" t="n">
        <x:v>4</x:v>
      </x:c>
      <x:c r="B58" s="44" t="str">
        <x:v>4 – Direkt übernehmbar</x:v>
      </x:c>
      <x:c r="C58" s="47" t="str">
        <x:v>1070</x:v>
      </x:c>
      <x:c r="D58" s="46" t="str">
        <x:v>Tanja Adam</x:v>
      </x:c>
      <x:c r="E58" s="46" t="str"/>
      <x:c r="F58" s="46" t="str">
        <x:v>www.mitomedic.de</x:v>
      </x:c>
      <x:c r="G58" s="46" t="str">
        <x:v>DE</x:v>
      </x:c>
      <x:c r="H58" s="48" t="str">
        <x:v>23701</x:v>
      </x:c>
      <x:c r="I58" s="46" t="str">
        <x:v>DE</x:v>
      </x:c>
      <x:c r="J58" s="48" t="str">
        <x:v>23701</x:v>
      </x:c>
      <x:c r="K58" s="46" t="str">
        <x:v>Eutin</x:v>
      </x:c>
      <x:c r="L58" s="46" t="str">
        <x:v>Ahornstraße</x:v>
      </x:c>
      <x:c r="M58" s="46" t="str">
        <x:v>4</x:v>
      </x:c>
      <x:c r="N58" s="46" t="str">
        <x:v>Ahornstraße 4, 23701 Eutin</x:v>
      </x:c>
      <x:c r="O58" s="46" t="str">
        <x:v>yes</x:v>
      </x:c>
      <x:c r="P58" s="46" t="str">
        <x:v>confirmed</x:v>
      </x:c>
      <x:c r="Q58" s="46" t="str">
        <x:v>high</x:v>
      </x:c>
      <x:c r="R58" s="46" t="str"/>
      <x:c r="S58" s="46" t="str">
        <x:v>no</x:v>
      </x:c>
      <x:c r="T58" s="46" t="str"/>
      <x:c r="U58" s="46" t="str"/>
      <x:c r="V58" s="46" t="str">
        <x:v>https://www.mitomedic.de/</x:v>
      </x:c>
      <x:c r="W58" s="46" t="str">
        <x:v>Manuell im Browser auf der dokumentierten offiziellen Praxis-/Kontaktseite bestätigt. visible page text near matching postal code; checked 2 page(s)</x:v>
      </x:c>
      <x:c r="X58" s="46" t="str"/>
      <x:c r="Y58" s="46" t="str">
        <x:v>yes</x:v>
      </x:c>
      <x:c r="Z58" s="45" t="str">
        <x:v>offen</x:v>
      </x:c>
      <x:c r="AA58" s="45" t="str"/>
      <x:c r="AB58" s="46" t="n">
        <x:f>IF(LEN(U58)&gt;0,1,0)</x:f>
        <x:v>0</x:v>
      </x:c>
    </x:row>
    <x:row r="59">
      <x:c r="A59" s="44" t="n">
        <x:v>4</x:v>
      </x:c>
      <x:c r="B59" s="44" t="str">
        <x:v>4 – Direkt übernehmbar</x:v>
      </x:c>
      <x:c r="C59" s="47" t="str">
        <x:v>1072</x:v>
      </x:c>
      <x:c r="D59" s="46" t="str">
        <x:v>Dr. Gudrun Albrecht</x:v>
      </x:c>
      <x:c r="E59" s="46" t="str"/>
      <x:c r="F59" s="46" t="str">
        <x:v>gudrun-albrecht.de</x:v>
      </x:c>
      <x:c r="G59" s="46" t="str">
        <x:v>DE</x:v>
      </x:c>
      <x:c r="H59" s="48" t="str">
        <x:v>27777</x:v>
      </x:c>
      <x:c r="I59" s="46" t="str">
        <x:v>DE</x:v>
      </x:c>
      <x:c r="J59" s="48" t="str">
        <x:v>27777</x:v>
      </x:c>
      <x:c r="K59" s="46" t="str">
        <x:v>Ganderkesee</x:v>
      </x:c>
      <x:c r="L59" s="46" t="str">
        <x:v>Dorfring</x:v>
      </x:c>
      <x:c r="M59" s="46" t="str">
        <x:v>49</x:v>
      </x:c>
      <x:c r="N59" s="46" t="str">
        <x:v>Dorfring 49, 27777 Ganderkesee</x:v>
      </x:c>
      <x:c r="O59" s="46" t="str">
        <x:v>yes</x:v>
      </x:c>
      <x:c r="P59" s="46" t="str">
        <x:v>confirmed</x:v>
      </x:c>
      <x:c r="Q59" s="46" t="str">
        <x:v>high</x:v>
      </x:c>
      <x:c r="R59" s="46" t="str"/>
      <x:c r="S59" s="46" t="str">
        <x:v>no</x:v>
      </x:c>
      <x:c r="T59" s="46" t="str"/>
      <x:c r="U59" s="46" t="str"/>
      <x:c r="V59" s="46" t="str">
        <x:v>https://gudrun-albrecht.de/</x:v>
      </x:c>
      <x:c r="W59" s="46" t="str">
        <x:v>Manuell im Browser auf der dokumentierten offiziellen Praxis-/Kontaktseite bestätigt. visible page text near matching postal code; checked 4 page(s)</x:v>
      </x:c>
      <x:c r="X59" s="46" t="str"/>
      <x:c r="Y59" s="46" t="str">
        <x:v>yes</x:v>
      </x:c>
      <x:c r="Z59" s="45" t="str">
        <x:v>offen</x:v>
      </x:c>
      <x:c r="AA59" s="45" t="str"/>
      <x:c r="AB59" s="46" t="n">
        <x:f>IF(LEN(U59)&gt;0,1,0)</x:f>
        <x:v>0</x:v>
      </x:c>
    </x:row>
    <x:row r="60">
      <x:c r="A60" s="44" t="n">
        <x:v>4</x:v>
      </x:c>
      <x:c r="B60" s="44" t="str">
        <x:v>4 – Direkt übernehmbar</x:v>
      </x:c>
      <x:c r="C60" s="47" t="str">
        <x:v>1075</x:v>
      </x:c>
      <x:c r="D60" s="46" t="str">
        <x:v>Dr. Constanze Discher</x:v>
      </x:c>
      <x:c r="E60" s="46" t="str"/>
      <x:c r="F60" s="46" t="str">
        <x:v>www.praxis-felsberg.de</x:v>
      </x:c>
      <x:c r="G60" s="46" t="str">
        <x:v>DE</x:v>
      </x:c>
      <x:c r="H60" s="48" t="str">
        <x:v>34587</x:v>
      </x:c>
      <x:c r="I60" s="46" t="str">
        <x:v>DE</x:v>
      </x:c>
      <x:c r="J60" s="48" t="str">
        <x:v>34587</x:v>
      </x:c>
      <x:c r="K60" s="46" t="str">
        <x:v>Felsberg</x:v>
      </x:c>
      <x:c r="L60" s="46" t="str">
        <x:v>Homberger Straße</x:v>
      </x:c>
      <x:c r="M60" s="46" t="str">
        <x:v>25</x:v>
      </x:c>
      <x:c r="N60" s="46" t="str">
        <x:v>Homberger Straße 25, 34587 Felsberg</x:v>
      </x:c>
      <x:c r="O60" s="46" t="str">
        <x:v>yes</x:v>
      </x:c>
      <x:c r="P60" s="46" t="str">
        <x:v>confirmed</x:v>
      </x:c>
      <x:c r="Q60" s="46" t="str">
        <x:v>high</x:v>
      </x:c>
      <x:c r="R60" s="46" t="str"/>
      <x:c r="S60" s="46" t="str">
        <x:v>no</x:v>
      </x:c>
      <x:c r="T60" s="46" t="str"/>
      <x:c r="U60" s="46" t="str"/>
      <x:c r="V60" s="46" t="str">
        <x:v>https://www.praxis-felsberg.de/impressum.html</x:v>
      </x:c>
      <x:c r="W60" s="46" t="str">
        <x:v>Manuell im Browser auf der dokumentierten offiziellen Praxis-/Kontaktseite bestätigt. visible page text near matching postal code; checked 5 page(s)</x:v>
      </x:c>
      <x:c r="X60" s="46" t="str"/>
      <x:c r="Y60" s="46" t="str">
        <x:v>yes</x:v>
      </x:c>
      <x:c r="Z60" s="45" t="str">
        <x:v>offen</x:v>
      </x:c>
      <x:c r="AA60" s="45" t="str"/>
      <x:c r="AB60" s="46" t="n">
        <x:f>IF(LEN(U60)&gt;0,1,0)</x:f>
        <x:v>0</x:v>
      </x:c>
    </x:row>
    <x:row r="61">
      <x:c r="A61" s="44" t="n">
        <x:v>4</x:v>
      </x:c>
      <x:c r="B61" s="44" t="str">
        <x:v>4 – Direkt übernehmbar</x:v>
      </x:c>
      <x:c r="C61" s="47" t="str">
        <x:v>1076</x:v>
      </x:c>
      <x:c r="D61" s="46" t="str">
        <x:v>Cora Albach</x:v>
      </x:c>
      <x:c r="E61" s="46" t="str"/>
      <x:c r="F61" s="46" t="str">
        <x:v>www.albach-praxis.de</x:v>
      </x:c>
      <x:c r="G61" s="46" t="str">
        <x:v>DE</x:v>
      </x:c>
      <x:c r="H61" s="48" t="str">
        <x:v>35423</x:v>
      </x:c>
      <x:c r="I61" s="46" t="str">
        <x:v>DE</x:v>
      </x:c>
      <x:c r="J61" s="48" t="str">
        <x:v>35423</x:v>
      </x:c>
      <x:c r="K61" s="46" t="str">
        <x:v>Lich</x:v>
      </x:c>
      <x:c r="L61" s="46" t="str">
        <x:v>Höhlerstr.</x:v>
      </x:c>
      <x:c r="M61" s="46" t="str">
        <x:v>27</x:v>
      </x:c>
      <x:c r="N61" s="46" t="str">
        <x:v>Höhlerstr. 27, 35423 Lich</x:v>
      </x:c>
      <x:c r="O61" s="46" t="str">
        <x:v>yes</x:v>
      </x:c>
      <x:c r="P61" s="46" t="str">
        <x:v>confirmed</x:v>
      </x:c>
      <x:c r="Q61" s="46" t="str">
        <x:v>high</x:v>
      </x:c>
      <x:c r="R61" s="46" t="str"/>
      <x:c r="S61" s="46" t="str">
        <x:v>no</x:v>
      </x:c>
      <x:c r="T61" s="46" t="str"/>
      <x:c r="U61" s="46" t="str"/>
      <x:c r="V61" s="46" t="str">
        <x:v>https://www.albach-praxis.de/</x:v>
      </x:c>
      <x:c r="W61" s="46" t="str">
        <x:v>Manuell im Browser auf der dokumentierten offiziellen Praxis-/Kontaktseite bestätigt. visible page text near matching postal code; checked 5 page(s)</x:v>
      </x:c>
      <x:c r="X61" s="46" t="str"/>
      <x:c r="Y61" s="46" t="str">
        <x:v>yes</x:v>
      </x:c>
      <x:c r="Z61" s="45" t="str">
        <x:v>offen</x:v>
      </x:c>
      <x:c r="AA61" s="45" t="str"/>
      <x:c r="AB61" s="46" t="n">
        <x:f>IF(LEN(U61)&gt;0,1,0)</x:f>
        <x:v>0</x:v>
      </x:c>
    </x:row>
    <x:row r="62">
      <x:c r="A62" s="44" t="n">
        <x:v>4</x:v>
      </x:c>
      <x:c r="B62" s="44" t="str">
        <x:v>4 – Direkt übernehmbar</x:v>
      </x:c>
      <x:c r="C62" s="47" t="str">
        <x:v>1077</x:v>
      </x:c>
      <x:c r="D62" s="46" t="str">
        <x:v>Tobias Duven</x:v>
      </x:c>
      <x:c r="E62" s="46" t="str"/>
      <x:c r="F62" s="46" t="str">
        <x:v>www.naturheilpraxis-duven.de</x:v>
      </x:c>
      <x:c r="G62" s="46" t="str">
        <x:v>DE</x:v>
      </x:c>
      <x:c r="H62" s="48" t="str">
        <x:v>40212</x:v>
      </x:c>
      <x:c r="I62" s="46" t="str">
        <x:v>DE</x:v>
      </x:c>
      <x:c r="J62" s="48" t="str">
        <x:v>40212</x:v>
      </x:c>
      <x:c r="K62" s="46" t="str">
        <x:v>Düsseldorf</x:v>
      </x:c>
      <x:c r="L62" s="46" t="str">
        <x:v>Schadowstr.</x:v>
      </x:c>
      <x:c r="M62" s="46" t="str">
        <x:v>74</x:v>
      </x:c>
      <x:c r="N62" s="46" t="str">
        <x:v>Schadowstr. 74, 40212 Düsseldorf</x:v>
      </x:c>
      <x:c r="O62" s="46" t="str">
        <x:v>yes</x:v>
      </x:c>
      <x:c r="P62" s="46" t="str">
        <x:v>confirmed</x:v>
      </x:c>
      <x:c r="Q62" s="46" t="str">
        <x:v>high</x:v>
      </x:c>
      <x:c r="R62" s="46" t="str"/>
      <x:c r="S62" s="46" t="str">
        <x:v>no</x:v>
      </x:c>
      <x:c r="T62" s="46" t="str"/>
      <x:c r="U62" s="46" t="str"/>
      <x:c r="V62" s="46" t="str">
        <x:v>https://www.naturheilpraxis-duven.de/kontakt/</x:v>
      </x:c>
      <x:c r="W62" s="46" t="str">
        <x:v>Manuell im Browser auf der dokumentierten offiziellen Praxis-/Kontaktseite bestätigt. visible page text near matching postal code; checked 5 page(s)</x:v>
      </x:c>
      <x:c r="X62" s="46" t="str"/>
      <x:c r="Y62" s="46" t="str">
        <x:v>yes</x:v>
      </x:c>
      <x:c r="Z62" s="45" t="str">
        <x:v>offen</x:v>
      </x:c>
      <x:c r="AA62" s="45" t="str"/>
      <x:c r="AB62" s="46" t="n">
        <x:f>IF(LEN(U62)&gt;0,1,0)</x:f>
        <x:v>0</x:v>
      </x:c>
    </x:row>
    <x:row r="63">
      <x:c r="A63" s="44" t="n">
        <x:v>4</x:v>
      </x:c>
      <x:c r="B63" s="44" t="str">
        <x:v>4 – Direkt übernehmbar</x:v>
      </x:c>
      <x:c r="C63" s="47" t="str">
        <x:v>1078</x:v>
      </x:c>
      <x:c r="D63" s="46" t="str">
        <x:v>Isabel Komischke</x:v>
      </x:c>
      <x:c r="E63" s="46" t="str"/>
      <x:c r="F63" s="46" t="str">
        <x:v>fzn-duesseldorf.de</x:v>
      </x:c>
      <x:c r="G63" s="46" t="str">
        <x:v>DE</x:v>
      </x:c>
      <x:c r="H63" s="48" t="str">
        <x:v>40221</x:v>
      </x:c>
      <x:c r="I63" s="46" t="str">
        <x:v>DE</x:v>
      </x:c>
      <x:c r="J63" s="48" t="str">
        <x:v>40221</x:v>
      </x:c>
      <x:c r="K63" s="46" t="str">
        <x:v>Düsseldorf</x:v>
      </x:c>
      <x:c r="L63" s="46" t="str">
        <x:v>Fachzentrum für Neuropsychologie (FZN) | Fährstrasse</x:v>
      </x:c>
      <x:c r="M63" s="46" t="str">
        <x:v>1</x:v>
      </x:c>
      <x:c r="N63" s="46" t="str">
        <x:v>Fachzentrum für Neuropsychologie (FZN) | Fährstrasse 1, 40221 Düsseldorf</x:v>
      </x:c>
      <x:c r="O63" s="46" t="str">
        <x:v>yes</x:v>
      </x:c>
      <x:c r="P63" s="46" t="str">
        <x:v>confirmed</x:v>
      </x:c>
      <x:c r="Q63" s="46" t="str">
        <x:v>high</x:v>
      </x:c>
      <x:c r="R63" s="46" t="str"/>
      <x:c r="S63" s="46" t="str">
        <x:v>no</x:v>
      </x:c>
      <x:c r="T63" s="46" t="str"/>
      <x:c r="U63" s="46" t="str"/>
      <x:c r="V63" s="46" t="str">
        <x:v>https://fzn-duesseldorf.de/</x:v>
      </x:c>
      <x:c r="W63" s="46" t="str">
        <x:v>Manuell im Browser auf der dokumentierten offiziellen Praxis-/Kontaktseite bestätigt. visible page text near matching postal code; checked 5 page(s)</x:v>
      </x:c>
      <x:c r="X63" s="46" t="str"/>
      <x:c r="Y63" s="46" t="str">
        <x:v>yes</x:v>
      </x:c>
      <x:c r="Z63" s="45" t="str">
        <x:v>offen</x:v>
      </x:c>
      <x:c r="AA63" s="45" t="str"/>
      <x:c r="AB63" s="46" t="n">
        <x:f>IF(LEN(U63)&gt;0,1,0)</x:f>
        <x:v>0</x:v>
      </x:c>
    </x:row>
    <x:row r="64">
      <x:c r="A64" s="44" t="n">
        <x:v>4</x:v>
      </x:c>
      <x:c r="B64" s="44" t="str">
        <x:v>4 – Direkt übernehmbar</x:v>
      </x:c>
      <x:c r="C64" s="47" t="str">
        <x:v>1079</x:v>
      </x:c>
      <x:c r="D64" s="46" t="str">
        <x:v>Dr. Ralph Ihlas</x:v>
      </x:c>
      <x:c r="E64" s="46" t="str"/>
      <x:c r="F64" s="46" t="str">
        <x:v>dr-ihlas.de</x:v>
      </x:c>
      <x:c r="G64" s="46" t="str">
        <x:v>DE</x:v>
      </x:c>
      <x:c r="H64" s="48" t="str">
        <x:v>44139</x:v>
      </x:c>
      <x:c r="I64" s="46" t="str">
        <x:v>DE</x:v>
      </x:c>
      <x:c r="J64" s="48" t="str">
        <x:v>44139</x:v>
      </x:c>
      <x:c r="K64" s="46" t="str">
        <x:v>Dortmund</x:v>
      </x:c>
      <x:c r="L64" s="46" t="str">
        <x:v>Hainallee</x:v>
      </x:c>
      <x:c r="M64" s="46" t="str">
        <x:v>64a</x:v>
      </x:c>
      <x:c r="N64" s="46" t="str">
        <x:v>Hainallee 64a, 44139 Dortmund</x:v>
      </x:c>
      <x:c r="O64" s="46" t="str">
        <x:v>yes</x:v>
      </x:c>
      <x:c r="P64" s="46" t="str">
        <x:v>confirmed</x:v>
      </x:c>
      <x:c r="Q64" s="46" t="str">
        <x:v>high</x:v>
      </x:c>
      <x:c r="R64" s="46" t="str"/>
      <x:c r="S64" s="46" t="str">
        <x:v>no</x:v>
      </x:c>
      <x:c r="T64" s="46" t="str"/>
      <x:c r="U64" s="46" t="str"/>
      <x:c r="V64" s="46" t="str">
        <x:v>https://dr-ihlas.de/</x:v>
      </x:c>
      <x:c r="W64" s="46" t="str">
        <x:v>Manuell im Browser auf der dokumentierten offiziellen Praxis-/Kontaktseite bestätigt. visible page text near matching postal code; checked 3 page(s)</x:v>
      </x:c>
      <x:c r="X64" s="46" t="str"/>
      <x:c r="Y64" s="46" t="str">
        <x:v>yes</x:v>
      </x:c>
      <x:c r="Z64" s="45" t="str">
        <x:v>offen</x:v>
      </x:c>
      <x:c r="AA64" s="45" t="str"/>
      <x:c r="AB64" s="46" t="n">
        <x:f>IF(LEN(U64)&gt;0,1,0)</x:f>
        <x:v>0</x:v>
      </x:c>
    </x:row>
    <x:row r="65">
      <x:c r="A65" s="44" t="n">
        <x:v>4</x:v>
      </x:c>
      <x:c r="B65" s="44" t="str">
        <x:v>4 – Direkt übernehmbar</x:v>
      </x:c>
      <x:c r="C65" s="47" t="str">
        <x:v>1083</x:v>
      </x:c>
      <x:c r="D65" s="46" t="str">
        <x:v>Dr. Oliver Röderer</x:v>
      </x:c>
      <x:c r="E65" s="46" t="str"/>
      <x:c r="F65" s="46" t="str">
        <x:v>health-prime.de</x:v>
      </x:c>
      <x:c r="G65" s="46" t="str">
        <x:v>DE</x:v>
      </x:c>
      <x:c r="H65" s="48" t="str">
        <x:v>50672</x:v>
      </x:c>
      <x:c r="I65" s="46" t="str">
        <x:v>DE</x:v>
      </x:c>
      <x:c r="J65" s="48" t="str">
        <x:v>50672</x:v>
      </x:c>
      <x:c r="K65" s="46" t="str">
        <x:v>Köln</x:v>
      </x:c>
      <x:c r="L65" s="46" t="str">
        <x:v>Kaiser-Wilhelm-Ring</x:v>
      </x:c>
      <x:c r="M65" s="46" t="str">
        <x:v>15</x:v>
      </x:c>
      <x:c r="N65" s="46" t="str">
        <x:v>Kaiser-Wilhelm-Ring 15, 50672 Köln</x:v>
      </x:c>
      <x:c r="O65" s="46" t="str">
        <x:v>yes</x:v>
      </x:c>
      <x:c r="P65" s="46" t="str">
        <x:v>confirmed</x:v>
      </x:c>
      <x:c r="Q65" s="46" t="str">
        <x:v>high</x:v>
      </x:c>
      <x:c r="R65" s="46" t="str"/>
      <x:c r="S65" s="46" t="str">
        <x:v>no</x:v>
      </x:c>
      <x:c r="T65" s="46" t="str"/>
      <x:c r="U65" s="46" t="str"/>
      <x:c r="V65" s="46" t="str">
        <x:v>https://health-prime.de/</x:v>
      </x:c>
      <x:c r="W65" s="46" t="str">
        <x:v>Manuell im Browser auf der dokumentierten offiziellen Praxis-/Kontaktseite bestätigt. visible page text near matching postal code; checked 4 page(s)</x:v>
      </x:c>
      <x:c r="X65" s="46" t="str"/>
      <x:c r="Y65" s="46" t="str">
        <x:v>yes</x:v>
      </x:c>
      <x:c r="Z65" s="45" t="str">
        <x:v>offen</x:v>
      </x:c>
      <x:c r="AA65" s="45" t="str"/>
      <x:c r="AB65" s="46" t="n">
        <x:f>IF(LEN(U65)&gt;0,1,0)</x:f>
        <x:v>0</x:v>
      </x:c>
    </x:row>
    <x:row r="66">
      <x:c r="A66" s="44" t="n">
        <x:v>4</x:v>
      </x:c>
      <x:c r="B66" s="44" t="str">
        <x:v>4 – Direkt übernehmbar</x:v>
      </x:c>
      <x:c r="C66" s="47" t="str">
        <x:v>1093</x:v>
      </x:c>
      <x:c r="D66" s="46" t="str">
        <x:v>Dr. Heike Türke</x:v>
      </x:c>
      <x:c r="E66" s="46" t="str"/>
      <x:c r="F66" s="46" t="str">
        <x:v>www.hausaerzte-nilkheim.com</x:v>
      </x:c>
      <x:c r="G66" s="46" t="str">
        <x:v>DE</x:v>
      </x:c>
      <x:c r="H66" s="48" t="str">
        <x:v>63741</x:v>
      </x:c>
      <x:c r="I66" s="46" t="str">
        <x:v>DE</x:v>
      </x:c>
      <x:c r="J66" s="48" t="str">
        <x:v>63741</x:v>
      </x:c>
      <x:c r="K66" s="46" t="str">
        <x:v>Aschaffenburg</x:v>
      </x:c>
      <x:c r="L66" s="46" t="str">
        <x:v>Weidenweg</x:v>
      </x:c>
      <x:c r="M66" s="46" t="str">
        <x:v>9</x:v>
      </x:c>
      <x:c r="N66" s="46" t="str">
        <x:v>Weidenweg 9, 63741 Aschaffenburg</x:v>
      </x:c>
      <x:c r="O66" s="46" t="str">
        <x:v>yes</x:v>
      </x:c>
      <x:c r="P66" s="46" t="str">
        <x:v>confirmed</x:v>
      </x:c>
      <x:c r="Q66" s="46" t="str">
        <x:v>high</x:v>
      </x:c>
      <x:c r="R66" s="46" t="str"/>
      <x:c r="S66" s="46" t="str">
        <x:v>no</x:v>
      </x:c>
      <x:c r="T66" s="46" t="str"/>
      <x:c r="U66" s="46" t="str"/>
      <x:c r="V66" s="46" t="str">
        <x:v>https://www.hausaerzte-nilkheim.com/kontakt</x:v>
      </x:c>
      <x:c r="W66" s="46" t="str">
        <x:v>Manuell im Browser auf der dokumentierten offiziellen Praxis-/Kontaktseite bestätigt. visible page text near matching postal code; checked 5 page(s)</x:v>
      </x:c>
      <x:c r="X66" s="46" t="str"/>
      <x:c r="Y66" s="46" t="str">
        <x:v>yes</x:v>
      </x:c>
      <x:c r="Z66" s="45" t="str">
        <x:v>offen</x:v>
      </x:c>
      <x:c r="AA66" s="45" t="str"/>
      <x:c r="AB66" s="46" t="n">
        <x:f>IF(LEN(U66)&gt;0,1,0)</x:f>
        <x:v>0</x:v>
      </x:c>
    </x:row>
    <x:row r="67">
      <x:c r="A67" s="44" t="n">
        <x:v>4</x:v>
      </x:c>
      <x:c r="B67" s="44" t="str">
        <x:v>4 – Direkt übernehmbar</x:v>
      </x:c>
      <x:c r="C67" s="47" t="str">
        <x:v>1094</x:v>
      </x:c>
      <x:c r="D67" s="46" t="str">
        <x:v>Dr. Thomas Peter</x:v>
      </x:c>
      <x:c r="E67" s="46" t="str"/>
      <x:c r="F67" s="46" t="str">
        <x:v>www.anuvindati.de</x:v>
      </x:c>
      <x:c r="G67" s="46" t="str">
        <x:v>DE</x:v>
      </x:c>
      <x:c r="H67" s="48" t="str">
        <x:v>64625</x:v>
      </x:c>
      <x:c r="I67" s="46" t="str">
        <x:v>DE</x:v>
      </x:c>
      <x:c r="J67" s="48" t="str">
        <x:v>64625</x:v>
      </x:c>
      <x:c r="K67" s="46" t="str">
        <x:v>Bensheim</x:v>
      </x:c>
      <x:c r="L67" s="46" t="str">
        <x:v>Berliner Ring</x:v>
      </x:c>
      <x:c r="M67" s="46" t="str">
        <x:v>147a</x:v>
      </x:c>
      <x:c r="N67" s="46" t="str">
        <x:v>Berliner Ring 147a, 64625 Bensheim</x:v>
      </x:c>
      <x:c r="O67" s="46" t="str">
        <x:v>yes</x:v>
      </x:c>
      <x:c r="P67" s="46" t="str">
        <x:v>confirmed</x:v>
      </x:c>
      <x:c r="Q67" s="46" t="str">
        <x:v>high</x:v>
      </x:c>
      <x:c r="R67" s="46" t="str"/>
      <x:c r="S67" s="46" t="str">
        <x:v>no</x:v>
      </x:c>
      <x:c r="T67" s="46" t="str"/>
      <x:c r="U67" s="46" t="str"/>
      <x:c r="V67" s="46" t="str">
        <x:v>https://www.anuvindati-bensheim.de/</x:v>
      </x:c>
      <x:c r="W67" s="46" t="str">
        <x:v>Manuell im Browser auf der dokumentierten offiziellen Praxis-/Kontaktseite bestätigt. visible page text near matching postal code; checked 3 page(s)</x:v>
      </x:c>
      <x:c r="X67" s="46" t="str"/>
      <x:c r="Y67" s="46" t="str">
        <x:v>yes</x:v>
      </x:c>
      <x:c r="Z67" s="45" t="str">
        <x:v>offen</x:v>
      </x:c>
      <x:c r="AA67" s="45" t="str"/>
      <x:c r="AB67" s="46" t="n">
        <x:f>IF(LEN(U67)&gt;0,1,0)</x:f>
        <x:v>0</x:v>
      </x:c>
    </x:row>
    <x:row r="68">
      <x:c r="A68" s="44" t="n">
        <x:v>4</x:v>
      </x:c>
      <x:c r="B68" s="44" t="str">
        <x:v>4 – Direkt übernehmbar</x:v>
      </x:c>
      <x:c r="C68" s="47" t="str">
        <x:v>1095</x:v>
      </x:c>
      <x:c r="D68" s="46" t="str">
        <x:v>Dr. Saskia Rittirsch</x:v>
      </x:c>
      <x:c r="E68" s="46" t="str"/>
      <x:c r="F68" s="46" t="str">
        <x:v>www.parkside-medical.de</x:v>
      </x:c>
      <x:c r="G68" s="46" t="str">
        <x:v>DE</x:v>
      </x:c>
      <x:c r="H68" s="48" t="str">
        <x:v>65191</x:v>
      </x:c>
      <x:c r="I68" s="46" t="str">
        <x:v>DE</x:v>
      </x:c>
      <x:c r="J68" s="48" t="str">
        <x:v>65191</x:v>
      </x:c>
      <x:c r="K68" s="46" t="str">
        <x:v>WIESBADEN</x:v>
      </x:c>
      <x:c r="L68" s="46" t="str">
        <x:v>LEIBNIZSTRASSE</x:v>
      </x:c>
      <x:c r="M68" s="46" t="str">
        <x:v>19</x:v>
      </x:c>
      <x:c r="N68" s="46" t="str">
        <x:v>LEIBNIZSTRASSE 19, 65191 WIESBADEN</x:v>
      </x:c>
      <x:c r="O68" s="46" t="str">
        <x:v>yes</x:v>
      </x:c>
      <x:c r="P68" s="46" t="str">
        <x:v>confirmed</x:v>
      </x:c>
      <x:c r="Q68" s="46" t="str">
        <x:v>high</x:v>
      </x:c>
      <x:c r="R68" s="46" t="str"/>
      <x:c r="S68" s="46" t="str">
        <x:v>no</x:v>
      </x:c>
      <x:c r="T68" s="46" t="str"/>
      <x:c r="U68" s="46" t="str"/>
      <x:c r="V68" s="46" t="str">
        <x:v>https://www.parkside-medical.de/</x:v>
      </x:c>
      <x:c r="W68" s="46" t="str">
        <x:v>Manuell im Browser auf der dokumentierten offiziellen Praxis-/Kontaktseite bestätigt. visible page text near matching postal code; checked 5 page(s)</x:v>
      </x:c>
      <x:c r="X68" s="46" t="str"/>
      <x:c r="Y68" s="46" t="str">
        <x:v>yes</x:v>
      </x:c>
      <x:c r="Z68" s="45" t="str">
        <x:v>offen</x:v>
      </x:c>
      <x:c r="AA68" s="45" t="str"/>
      <x:c r="AB68" s="46" t="n">
        <x:f>IF(LEN(U68)&gt;0,1,0)</x:f>
        <x:v>0</x:v>
      </x:c>
    </x:row>
    <x:row r="69">
      <x:c r="A69" s="44" t="n">
        <x:v>4</x:v>
      </x:c>
      <x:c r="B69" s="44" t="str">
        <x:v>4 – Direkt übernehmbar</x:v>
      </x:c>
      <x:c r="C69" s="47" t="str">
        <x:v>1099</x:v>
      </x:c>
      <x:c r="D69" s="46" t="str">
        <x:v>Dr. Sabine Knochenhauer</x:v>
      </x:c>
      <x:c r="E69" s="46" t="str"/>
      <x:c r="F69" s="46" t="str">
        <x:v>www.hnc-mannheim.de</x:v>
      </x:c>
      <x:c r="G69" s="46" t="str">
        <x:v>DE</x:v>
      </x:c>
      <x:c r="H69" s="48" t="str">
        <x:v>68165</x:v>
      </x:c>
      <x:c r="I69" s="46" t="str">
        <x:v>DE</x:v>
      </x:c>
      <x:c r="J69" s="48" t="str">
        <x:v>68165</x:v>
      </x:c>
      <x:c r="K69" s="46" t="str">
        <x:v>Mannheim</x:v>
      </x:c>
      <x:c r="L69" s="46" t="str">
        <x:v>Augartenstraße</x:v>
      </x:c>
      <x:c r="M69" s="46" t="str">
        <x:v>79</x:v>
      </x:c>
      <x:c r="N69" s="46" t="str">
        <x:v>Augartenstraße 79, 68165 Mannheim, DE</x:v>
      </x:c>
      <x:c r="O69" s="46" t="str">
        <x:v>yes</x:v>
      </x:c>
      <x:c r="P69" s="46" t="str">
        <x:v>confirmed</x:v>
      </x:c>
      <x:c r="Q69" s="46" t="str">
        <x:v>high</x:v>
      </x:c>
      <x:c r="R69" s="46" t="str"/>
      <x:c r="S69" s="46" t="str">
        <x:v>no</x:v>
      </x:c>
      <x:c r="T69" s="46" t="str"/>
      <x:c r="U69" s="46" t="str"/>
      <x:c r="V69" s="46" t="str">
        <x:v>http://www.hnc-mannheim.de/</x:v>
      </x:c>
      <x:c r="W69" s="46" t="str">
        <x:v>Offizielle Praxiswebsite nennt Dr. Sabine Knochenhauer, Augartenstraße 79, 68165 Mannheim.</x:v>
      </x:c>
      <x:c r="X69" s="46" t="str"/>
      <x:c r="Y69" s="46" t="str">
        <x:v>yes</x:v>
      </x:c>
      <x:c r="Z69" s="45" t="str">
        <x:v>offen</x:v>
      </x:c>
      <x:c r="AA69" s="45" t="str"/>
      <x:c r="AB69" s="46" t="n">
        <x:f>IF(LEN(U69)&gt;0,1,0)</x:f>
        <x:v>0</x:v>
      </x:c>
    </x:row>
    <x:row r="70">
      <x:c r="A70" s="44" t="n">
        <x:v>4</x:v>
      </x:c>
      <x:c r="B70" s="44" t="str">
        <x:v>4 – Direkt übernehmbar</x:v>
      </x:c>
      <x:c r="C70" s="47" t="str">
        <x:v>1102</x:v>
      </x:c>
      <x:c r="D70" s="46" t="str">
        <x:v>Annette Johnson</x:v>
      </x:c>
      <x:c r="E70" s="46" t="str"/>
      <x:c r="F70" s="46" t="str">
        <x:v>www.annette-johnson.de</x:v>
      </x:c>
      <x:c r="G70" s="46" t="str">
        <x:v>DE</x:v>
      </x:c>
      <x:c r="H70" s="48" t="str">
        <x:v>72108</x:v>
      </x:c>
      <x:c r="I70" s="46" t="str">
        <x:v>DE</x:v>
      </x:c>
      <x:c r="J70" s="48" t="str">
        <x:v>72108</x:v>
      </x:c>
      <x:c r="K70" s="46" t="str">
        <x:v>Rottenburg - Wurmlingen</x:v>
      </x:c>
      <x:c r="L70" s="46" t="str">
        <x:v>Bricciusstraße</x:v>
      </x:c>
      <x:c r="M70" s="46" t="str">
        <x:v>22/1</x:v>
      </x:c>
      <x:c r="N70" s="46" t="str">
        <x:v>Bricciusstraße 22/1, 72108 Rottenburg - Wurmlingen</x:v>
      </x:c>
      <x:c r="O70" s="46" t="str">
        <x:v>yes</x:v>
      </x:c>
      <x:c r="P70" s="46" t="str">
        <x:v>confirmed</x:v>
      </x:c>
      <x:c r="Q70" s="46" t="str">
        <x:v>high</x:v>
      </x:c>
      <x:c r="R70" s="46" t="str"/>
      <x:c r="S70" s="46" t="str">
        <x:v>no</x:v>
      </x:c>
      <x:c r="T70" s="46" t="str"/>
      <x:c r="U70" s="46" t="str"/>
      <x:c r="V70" s="46" t="str">
        <x:v>https://www.annette-johnson.de/</x:v>
      </x:c>
      <x:c r="W70" s="46" t="str">
        <x:v>Manuell im Browser auf der dokumentierten offiziellen Praxis-/Kontaktseite bestätigt. visible page text near matching postal code; checked 5 page(s)</x:v>
      </x:c>
      <x:c r="X70" s="46" t="str"/>
      <x:c r="Y70" s="46" t="str">
        <x:v>yes</x:v>
      </x:c>
      <x:c r="Z70" s="45" t="str">
        <x:v>offen</x:v>
      </x:c>
      <x:c r="AA70" s="45" t="str"/>
      <x:c r="AB70" s="46" t="n">
        <x:f>IF(LEN(U70)&gt;0,1,0)</x:f>
        <x:v>0</x:v>
      </x:c>
    </x:row>
    <x:row r="71">
      <x:c r="A71" s="44" t="n">
        <x:v>4</x:v>
      </x:c>
      <x:c r="B71" s="44" t="str">
        <x:v>4 – Direkt übernehmbar</x:v>
      </x:c>
      <x:c r="C71" s="47" t="str">
        <x:v>1104</x:v>
      </x:c>
      <x:c r="D71" s="46" t="str">
        <x:v>Martina Hartmann</x:v>
      </x:c>
      <x:c r="E71" s="46" t="str"/>
      <x:c r="F71" s="46" t="str">
        <x:v>martina-hartmann.de</x:v>
      </x:c>
      <x:c r="G71" s="46" t="str">
        <x:v>DE</x:v>
      </x:c>
      <x:c r="H71" s="48" t="str">
        <x:v>76332</x:v>
      </x:c>
      <x:c r="I71" s="46" t="str">
        <x:v>DE</x:v>
      </x:c>
      <x:c r="J71" s="48" t="str">
        <x:v>76332</x:v>
      </x:c>
      <x:c r="K71" s="46" t="str">
        <x:v>Bad Herrenalb</x:v>
      </x:c>
      <x:c r="L71" s="46" t="str">
        <x:v>SPRECHSTUNDEN: Mo, Di &amp; Do: 8:00 – 13:00 Uhr und 14:00 – 17:00 Uhr / Mi: 8:00 – 15:00 Uhr / KONTAKT: 07083/9326244 - Dobler Strasse</x:v>
      </x:c>
      <x:c r="M71" s="46" t="str">
        <x:v>2</x:v>
      </x:c>
      <x:c r="N71" s="46" t="str">
        <x:v>SPRECHSTUNDEN: Mo, Di &amp; Do: 8:00 – 13:00 Uhr und 14:00 – 17:00 Uhr / Mi: 8:00 – 15:00 Uhr / KONTAKT: 07083/9326244 - Dobler Strasse 2, 76332 Bad Herrenalb</x:v>
      </x:c>
      <x:c r="O71" s="46" t="str">
        <x:v>yes</x:v>
      </x:c>
      <x:c r="P71" s="46" t="str">
        <x:v>confirmed</x:v>
      </x:c>
      <x:c r="Q71" s="46" t="str">
        <x:v>high</x:v>
      </x:c>
      <x:c r="R71" s="46" t="str"/>
      <x:c r="S71" s="46" t="str">
        <x:v>no</x:v>
      </x:c>
      <x:c r="T71" s="46" t="str"/>
      <x:c r="U71" s="46" t="str"/>
      <x:c r="V71" s="46" t="str">
        <x:v>https://martina-hartmann.de/</x:v>
      </x:c>
      <x:c r="W71" s="46" t="str">
        <x:v>Manuell im Browser auf der dokumentierten offiziellen Praxis-/Kontaktseite bestätigt. visible page text near matching postal code; checked 5 page(s)</x:v>
      </x:c>
      <x:c r="X71" s="46" t="str"/>
      <x:c r="Y71" s="46" t="str">
        <x:v>yes</x:v>
      </x:c>
      <x:c r="Z71" s="45" t="str">
        <x:v>offen</x:v>
      </x:c>
      <x:c r="AA71" s="45" t="str"/>
      <x:c r="AB71" s="46" t="n">
        <x:f>IF(LEN(U71)&gt;0,1,0)</x:f>
        <x:v>0</x:v>
      </x:c>
    </x:row>
    <x:row r="72">
      <x:c r="A72" s="44" t="n">
        <x:v>4</x:v>
      </x:c>
      <x:c r="B72" s="44" t="str">
        <x:v>4 – Direkt übernehmbar</x:v>
      </x:c>
      <x:c r="C72" s="47" t="str">
        <x:v>1109</x:v>
      </x:c>
      <x:c r="D72" s="46" t="str">
        <x:v>Tamara Zormeier</x:v>
      </x:c>
      <x:c r="E72" s="46" t="str"/>
      <x:c r="F72" s="46" t="str">
        <x:v>www.arztpraxis-zormeier.de</x:v>
      </x:c>
      <x:c r="G72" s="46" t="str">
        <x:v>DE</x:v>
      </x:c>
      <x:c r="H72" s="48" t="str">
        <x:v>78462</x:v>
      </x:c>
      <x:c r="I72" s="46" t="str">
        <x:v>DE</x:v>
      </x:c>
      <x:c r="J72" s="48" t="str">
        <x:v>78462</x:v>
      </x:c>
      <x:c r="K72" s="46" t="str">
        <x:v>Konstanz</x:v>
      </x:c>
      <x:c r="L72" s="46" t="str">
        <x:v>Hussenstraße</x:v>
      </x:c>
      <x:c r="M72" s="46" t="str">
        <x:v>34</x:v>
      </x:c>
      <x:c r="N72" s="46" t="str">
        <x:v>Hussenstraße 34, 78462 Konstanz</x:v>
      </x:c>
      <x:c r="O72" s="46" t="str">
        <x:v>yes</x:v>
      </x:c>
      <x:c r="P72" s="46" t="str">
        <x:v>confirmed</x:v>
      </x:c>
      <x:c r="Q72" s="46" t="str">
        <x:v>high</x:v>
      </x:c>
      <x:c r="R72" s="46" t="str"/>
      <x:c r="S72" s="46" t="str">
        <x:v>no</x:v>
      </x:c>
      <x:c r="T72" s="46" t="str"/>
      <x:c r="U72" s="46" t="str"/>
      <x:c r="V72" s="46" t="str">
        <x:v>https://www.arztpraxis-zormeier.de/</x:v>
      </x:c>
      <x:c r="W72" s="46" t="str">
        <x:v>Manuell im Browser auf der dokumentierten offiziellen Praxis-/Kontaktseite bestätigt. visible page text near matching postal code; checked 5 page(s)</x:v>
      </x:c>
      <x:c r="X72" s="46" t="str"/>
      <x:c r="Y72" s="46" t="str">
        <x:v>yes</x:v>
      </x:c>
      <x:c r="Z72" s="45" t="str">
        <x:v>offen</x:v>
      </x:c>
      <x:c r="AA72" s="45" t="str"/>
      <x:c r="AB72" s="46" t="n">
        <x:f>IF(LEN(U72)&gt;0,1,0)</x:f>
        <x:v>0</x:v>
      </x:c>
    </x:row>
    <x:row r="73">
      <x:c r="A73" s="44" t="n">
        <x:v>4</x:v>
      </x:c>
      <x:c r="B73" s="44" t="str">
        <x:v>4 – Direkt übernehmbar</x:v>
      </x:c>
      <x:c r="C73" s="47" t="str">
        <x:v>1116</x:v>
      </x:c>
      <x:c r="D73" s="46" t="str">
        <x:v>Dr. Michael Bommer</x:v>
      </x:c>
      <x:c r="E73" s="46" t="str"/>
      <x:c r="F73" s="46" t="str">
        <x:v>www.drbommer.de</x:v>
      </x:c>
      <x:c r="G73" s="46" t="str">
        <x:v>DE</x:v>
      </x:c>
      <x:c r="H73" s="48" t="str">
        <x:v>85354</x:v>
      </x:c>
      <x:c r="I73" s="46" t="str">
        <x:v>DE</x:v>
      </x:c>
      <x:c r="J73" s="48" t="str">
        <x:v>85354</x:v>
      </x:c>
      <x:c r="K73" s="46" t="str">
        <x:v>Freising</x:v>
      </x:c>
      <x:c r="L73" s="46" t="str">
        <x:v>Kesselschmiedstraße</x:v>
      </x:c>
      <x:c r="M73" s="46" t="str">
        <x:v>2</x:v>
      </x:c>
      <x:c r="N73" s="46" t="str">
        <x:v>Kesselschmiedstraße 2, 85354 Freising</x:v>
      </x:c>
      <x:c r="O73" s="46" t="str">
        <x:v>yes</x:v>
      </x:c>
      <x:c r="P73" s="46" t="str">
        <x:v>confirmed</x:v>
      </x:c>
      <x:c r="Q73" s="46" t="str">
        <x:v>high</x:v>
      </x:c>
      <x:c r="R73" s="46" t="str"/>
      <x:c r="S73" s="46" t="str">
        <x:v>no</x:v>
      </x:c>
      <x:c r="T73" s="46" t="str"/>
      <x:c r="U73" s="46" t="str"/>
      <x:c r="V73" s="46" t="str">
        <x:v>https://www.drbommer.de/</x:v>
      </x:c>
      <x:c r="W73" s="46" t="str">
        <x:v>Manuell im Browser auf der dokumentierten offiziellen Praxis-/Kontaktseite bestätigt. visible page text near matching postal code; checked 1 page(s)</x:v>
      </x:c>
      <x:c r="X73" s="46" t="str"/>
      <x:c r="Y73" s="46" t="str">
        <x:v>yes</x:v>
      </x:c>
      <x:c r="Z73" s="45" t="str">
        <x:v>offen</x:v>
      </x:c>
      <x:c r="AA73" s="45" t="str"/>
      <x:c r="AB73" s="46" t="n">
        <x:f>IF(LEN(U73)&gt;0,1,0)</x:f>
        <x:v>0</x:v>
      </x:c>
    </x:row>
    <x:row r="74">
      <x:c r="A74" s="44" t="n">
        <x:v>4</x:v>
      </x:c>
      <x:c r="B74" s="44" t="str">
        <x:v>4 – Direkt übernehmbar</x:v>
      </x:c>
      <x:c r="C74" s="47" t="str">
        <x:v>1118</x:v>
      </x:c>
      <x:c r="D74" s="46" t="str">
        <x:v>Dr. Renate Weber</x:v>
      </x:c>
      <x:c r="E74" s="46" t="str"/>
      <x:c r="F74" s="46" t="str">
        <x:v>weremed.de</x:v>
      </x:c>
      <x:c r="G74" s="46" t="str">
        <x:v>DE</x:v>
      </x:c>
      <x:c r="H74" s="48" t="str">
        <x:v>86163</x:v>
      </x:c>
      <x:c r="I74" s="46" t="str">
        <x:v>DE</x:v>
      </x:c>
      <x:c r="J74" s="48" t="str">
        <x:v>86163</x:v>
      </x:c>
      <x:c r="K74" s="46" t="str">
        <x:v>Augsburg</x:v>
      </x:c>
      <x:c r="L74" s="46" t="str">
        <x:v>Münchner Str.</x:v>
      </x:c>
      <x:c r="M74" s="46" t="str">
        <x:v>14</x:v>
      </x:c>
      <x:c r="N74" s="46" t="str">
        <x:v>Münchner Str. 14,, 86163 Augsburg</x:v>
      </x:c>
      <x:c r="O74" s="46" t="str">
        <x:v>yes</x:v>
      </x:c>
      <x:c r="P74" s="46" t="str">
        <x:v>confirmed</x:v>
      </x:c>
      <x:c r="Q74" s="46" t="str">
        <x:v>high</x:v>
      </x:c>
      <x:c r="R74" s="46" t="str"/>
      <x:c r="S74" s="46" t="str">
        <x:v>no</x:v>
      </x:c>
      <x:c r="T74" s="46" t="str"/>
      <x:c r="U74" s="46" t="str"/>
      <x:c r="V74" s="46" t="str">
        <x:v>https://weremed.de/</x:v>
      </x:c>
      <x:c r="W74" s="46" t="str">
        <x:v>Manuell im Browser auf der dokumentierten offiziellen Praxis-/Kontaktseite bestätigt. JSON-LD address; checked 4 page(s)</x:v>
      </x:c>
      <x:c r="X74" s="46" t="str"/>
      <x:c r="Y74" s="46" t="str">
        <x:v>yes</x:v>
      </x:c>
      <x:c r="Z74" s="45" t="str">
        <x:v>offen</x:v>
      </x:c>
      <x:c r="AA74" s="45" t="str"/>
      <x:c r="AB74" s="46" t="n">
        <x:f>IF(LEN(U74)&gt;0,1,0)</x:f>
        <x:v>0</x:v>
      </x:c>
    </x:row>
    <x:row r="75">
      <x:c r="A75" s="44" t="n">
        <x:v>4</x:v>
      </x:c>
      <x:c r="B75" s="44" t="str">
        <x:v>4 – Direkt übernehmbar</x:v>
      </x:c>
      <x:c r="C75" s="47" t="str">
        <x:v>1121</x:v>
      </x:c>
      <x:c r="D75" s="46" t="str">
        <x:v>Dr. Martin Schnitze</x:v>
      </x:c>
      <x:c r="E75" s="46" t="str"/>
      <x:c r="F75" s="46" t="str">
        <x:v>www.alternatives-kopfschmerzzentrum.de</x:v>
      </x:c>
      <x:c r="G75" s="46" t="str">
        <x:v>DE</x:v>
      </x:c>
      <x:c r="H75" s="48" t="str">
        <x:v>94315</x:v>
      </x:c>
      <x:c r="I75" s="46" t="str">
        <x:v>DE</x:v>
      </x:c>
      <x:c r="J75" s="48" t="str">
        <x:v>94315</x:v>
      </x:c>
      <x:c r="K75" s="46" t="str">
        <x:v>Straubing</x:v>
      </x:c>
      <x:c r="L75" s="46" t="str">
        <x:v>Hans-Adlhoch-Straße</x:v>
      </x:c>
      <x:c r="M75" s="46" t="str">
        <x:v>13</x:v>
      </x:c>
      <x:c r="N75" s="46" t="str">
        <x:v>Hans-Adlhoch-Straße 13, 94315 Straubing</x:v>
      </x:c>
      <x:c r="O75" s="46" t="str">
        <x:v>yes</x:v>
      </x:c>
      <x:c r="P75" s="46" t="str">
        <x:v>confirmed</x:v>
      </x:c>
      <x:c r="Q75" s="46" t="str">
        <x:v>high</x:v>
      </x:c>
      <x:c r="R75" s="46" t="str"/>
      <x:c r="S75" s="46" t="str">
        <x:v>no</x:v>
      </x:c>
      <x:c r="T75" s="46" t="str"/>
      <x:c r="U75" s="46" t="str"/>
      <x:c r="V75" s="46" t="str">
        <x:v>https://www.alternatives-kopfschmerzzentrum.de/</x:v>
      </x:c>
      <x:c r="W75" s="46" t="str">
        <x:v>Manuell im Browser auf der dokumentierten offiziellen Praxis-/Kontaktseite bestätigt. visible page text near matching postal code; checked 4 page(s)</x:v>
      </x:c>
      <x:c r="X75" s="46" t="str"/>
      <x:c r="Y75" s="46" t="str">
        <x:v>yes</x:v>
      </x:c>
      <x:c r="Z75" s="45" t="str">
        <x:v>offen</x:v>
      </x:c>
      <x:c r="AA75" s="45" t="str"/>
      <x:c r="AB75" s="46" t="n">
        <x:f>IF(LEN(U75)&gt;0,1,0)</x:f>
        <x:v>0</x:v>
      </x:c>
    </x:row>
    <x:row r="76">
      <x:c r="A76" s="44" t="n">
        <x:v>4</x:v>
      </x:c>
      <x:c r="B76" s="44" t="str">
        <x:v>4 – Direkt übernehmbar</x:v>
      </x:c>
      <x:c r="C76" s="47" t="str">
        <x:v>1122</x:v>
      </x:c>
      <x:c r="D76" s="46" t="str">
        <x:v>Thomas Gries</x:v>
      </x:c>
      <x:c r="E76" s="46" t="str"/>
      <x:c r="F76" s="46" t="str">
        <x:v>www.heilpraxis-gries.de</x:v>
      </x:c>
      <x:c r="G76" s="46" t="str">
        <x:v>DE</x:v>
      </x:c>
      <x:c r="H76" s="48" t="str">
        <x:v>96047</x:v>
      </x:c>
      <x:c r="I76" s="46" t="str">
        <x:v>DE</x:v>
      </x:c>
      <x:c r="J76" s="48" t="str">
        <x:v>96047</x:v>
      </x:c>
      <x:c r="K76" s="46" t="str">
        <x:v>Bamberg</x:v>
      </x:c>
      <x:c r="L76" s="46" t="str">
        <x:v>Nonnenbrücke</x:v>
      </x:c>
      <x:c r="M76" s="46" t="str">
        <x:v>1</x:v>
      </x:c>
      <x:c r="N76" s="46" t="str">
        <x:v>Nonnenbrücke 1, 96047 Bamberg, DE</x:v>
      </x:c>
      <x:c r="O76" s="46" t="str">
        <x:v>yes</x:v>
      </x:c>
      <x:c r="P76" s="46" t="str">
        <x:v>confirmed</x:v>
      </x:c>
      <x:c r="Q76" s="46" t="str">
        <x:v>high</x:v>
      </x:c>
      <x:c r="R76" s="46" t="str"/>
      <x:c r="S76" s="46" t="str">
        <x:v>no</x:v>
      </x:c>
      <x:c r="T76" s="46" t="str"/>
      <x:c r="U76" s="46" t="str"/>
      <x:c r="V76" s="46" t="str">
        <x:v>https://www.heilpraxis-gries.de/terminvereinbarung/anfahrt</x:v>
      </x:c>
      <x:c r="W76" s="46" t="str">
        <x:v>Aktuelle offizielle Anfahrtsseite nennt Naturheilpraxis Thomas Gries, Nonnenbrücke 1, 96047 Bamberg. Obstmarkt 9 ist ein älterer Standort.</x:v>
      </x:c>
      <x:c r="X76" s="46" t="str">
        <x:v>Abweichung aus der ChatGPT-Ergänzung wurde auf der offiziellen Anfahrtsseite bestätigt.</x:v>
      </x:c>
      <x:c r="Y76" s="46" t="str">
        <x:v>yes</x:v>
      </x:c>
      <x:c r="Z76" s="45" t="str">
        <x:v>offen</x:v>
      </x:c>
      <x:c r="AA76" s="45" t="str"/>
      <x:c r="AB76" s="46" t="n">
        <x:f>IF(LEN(U76)&gt;0,1,0)</x:f>
        <x:v>0</x:v>
      </x:c>
    </x:row>
    <x:row r="77">
      <x:c r="A77" s="44" t="n">
        <x:v>4</x:v>
      </x:c>
      <x:c r="B77" s="44" t="str">
        <x:v>4 – Direkt übernehmbar</x:v>
      </x:c>
      <x:c r="C77" s="47" t="str">
        <x:v>1123</x:v>
      </x:c>
      <x:c r="D77" s="46" t="str">
        <x:v>Dr. Wunder</x:v>
      </x:c>
      <x:c r="E77" s="46" t="str"/>
      <x:c r="F77" s="46" t="str">
        <x:v>www.praxiswunder.at</x:v>
      </x:c>
      <x:c r="G77" s="46" t="str">
        <x:v>AT</x:v>
      </x:c>
      <x:c r="H77" s="48" t="str">
        <x:v>8051</x:v>
      </x:c>
      <x:c r="I77" s="46" t="str">
        <x:v>AT</x:v>
      </x:c>
      <x:c r="J77" s="48" t="str">
        <x:v>8051</x:v>
      </x:c>
      <x:c r="K77" s="46" t="str">
        <x:v>Graz</x:v>
      </x:c>
      <x:c r="L77" s="46" t="str">
        <x:v>Zanklstraße</x:v>
      </x:c>
      <x:c r="M77" s="46" t="str">
        <x:v>49</x:v>
      </x:c>
      <x:c r="N77" s="46" t="str">
        <x:v>Zanklstraße 49, 8051 Graz, AT</x:v>
      </x:c>
      <x:c r="O77" s="46" t="str">
        <x:v>yes</x:v>
      </x:c>
      <x:c r="P77" s="46" t="str">
        <x:v>confirmed</x:v>
      </x:c>
      <x:c r="Q77" s="46" t="str">
        <x:v>high</x:v>
      </x:c>
      <x:c r="R77" s="46" t="str"/>
      <x:c r="S77" s="46" t="str">
        <x:v>no</x:v>
      </x:c>
      <x:c r="T77" s="46" t="str"/>
      <x:c r="U77" s="46" t="str"/>
      <x:c r="V77" s="46" t="str">
        <x:v>https://www.praxiswunder.at/</x:v>
      </x:c>
      <x:c r="W77" s="46" t="str">
        <x:v>Offizielle Praxiswebsite nennt Zanklstraße 49, A-8051 Graz.</x:v>
      </x:c>
      <x:c r="X77" s="46" t="str">
        <x:v>Externe Liste nannte Oberhuberweg 13. Aktuelle offizielle Praxiswebsite und Ärztekammer bestätigen jedoch Zanklstraße 49 als medizinische Ordination; Hauptadresse bleibt unverändert.</x:v>
      </x:c>
      <x:c r="Y77" s="46" t="str">
        <x:v>yes</x:v>
      </x:c>
      <x:c r="Z77" s="45" t="str">
        <x:v>offen</x:v>
      </x:c>
      <x:c r="AA77" s="45" t="str"/>
      <x:c r="AB77" s="46" t="n">
        <x:f>IF(LEN(U77)&gt;0,1,0)</x:f>
        <x:v>0</x:v>
      </x:c>
    </x:row>
    <x:row r="78">
      <x:c r="A78" s="44" t="n">
        <x:v>4</x:v>
      </x:c>
      <x:c r="B78" s="44" t="str">
        <x:v>4 – Direkt übernehmbar</x:v>
      </x:c>
      <x:c r="C78" s="47" t="str">
        <x:v>1124</x:v>
      </x:c>
      <x:c r="D78" s="46" t="str">
        <x:v>Schmerzzentrum Berlin</x:v>
      </x:c>
      <x:c r="E78" s="46" t="str">
        <x:v>Schmerzzentrum Berlin</x:v>
      </x:c>
      <x:c r="F78" s="46" t="str">
        <x:v>www.schmerzmedizin.berlin</x:v>
      </x:c>
      <x:c r="G78" s="46" t="str">
        <x:v>DE</x:v>
      </x:c>
      <x:c r="H78" s="48" t="str">
        <x:v>10435</x:v>
      </x:c>
      <x:c r="I78" s="46" t="str">
        <x:v>DE</x:v>
      </x:c>
      <x:c r="J78" s="48" t="str">
        <x:v>10435</x:v>
      </x:c>
      <x:c r="K78" s="46" t="str">
        <x:v>Berlin</x:v>
      </x:c>
      <x:c r="L78" s="46" t="str">
        <x:v>Schönhauser Allee</x:v>
      </x:c>
      <x:c r="M78" s="46" t="str">
        <x:v>172a</x:v>
      </x:c>
      <x:c r="N78" s="46" t="str">
        <x:v>Schönhauser Allee 172a, 10435 Berlin</x:v>
      </x:c>
      <x:c r="O78" s="46" t="str">
        <x:v>yes</x:v>
      </x:c>
      <x:c r="P78" s="46" t="str">
        <x:v>confirmed</x:v>
      </x:c>
      <x:c r="Q78" s="46" t="str">
        <x:v>high</x:v>
      </x:c>
      <x:c r="R78" s="46" t="str"/>
      <x:c r="S78" s="46" t="str">
        <x:v>no</x:v>
      </x:c>
      <x:c r="T78" s="46" t="str"/>
      <x:c r="U78" s="46" t="str"/>
      <x:c r="V78" s="46" t="str">
        <x:v>https://www.schmerzmedizin.berlin/en/</x:v>
      </x:c>
      <x:c r="W78" s="46" t="str">
        <x:v>Manuell im Browser auf der dokumentierten offiziellen Praxis-/Kontaktseite bestätigt. visible page text near matching postal code; checked 1 page(s)</x:v>
      </x:c>
      <x:c r="X78" s="46" t="str"/>
      <x:c r="Y78" s="46" t="str">
        <x:v>yes</x:v>
      </x:c>
      <x:c r="Z78" s="45" t="str">
        <x:v>offen</x:v>
      </x:c>
      <x:c r="AA78" s="45" t="str"/>
      <x:c r="AB78" s="46" t="n">
        <x:f>IF(LEN(U78)&gt;0,1,0)</x:f>
        <x:v>0</x:v>
      </x:c>
    </x:row>
    <x:row r="79">
      <x:c r="A79" s="44" t="n">
        <x:v>4</x:v>
      </x:c>
      <x:c r="B79" s="44" t="str">
        <x:v>4 – Direkt übernehmbar</x:v>
      </x:c>
      <x:c r="C79" s="47" t="str">
        <x:v>1128</x:v>
      </x:c>
      <x:c r="D79" s="46" t="str">
        <x:v>Gemeinschaftspraxis Sterup</x:v>
      </x:c>
      <x:c r="E79" s="46" t="str">
        <x:v>Gemeinschaftspraxis Sterup</x:v>
      </x:c>
      <x:c r="F79" s="46" t="str">
        <x:v>www.praxis-sterup.de</x:v>
      </x:c>
      <x:c r="G79" s="46" t="str">
        <x:v>DE</x:v>
      </x:c>
      <x:c r="H79" s="48" t="str">
        <x:v>24996</x:v>
      </x:c>
      <x:c r="I79" s="46" t="str">
        <x:v>DE</x:v>
      </x:c>
      <x:c r="J79" s="48" t="str">
        <x:v>24996</x:v>
      </x:c>
      <x:c r="K79" s="46" t="str">
        <x:v>Sterup</x:v>
      </x:c>
      <x:c r="L79" s="46" t="str">
        <x:v>Alte Dorfstraße</x:v>
      </x:c>
      <x:c r="M79" s="46" t="str">
        <x:v>5</x:v>
      </x:c>
      <x:c r="N79" s="46" t="str">
        <x:v>Alte Dorfstraße 5, 24996 Sterup, Deutschland</x:v>
      </x:c>
      <x:c r="O79" s="46" t="str">
        <x:v>yes</x:v>
      </x:c>
      <x:c r="P79" s="46" t="str">
        <x:v>confirmed</x:v>
      </x:c>
      <x:c r="Q79" s="46" t="str">
        <x:v>high</x:v>
      </x:c>
      <x:c r="R79" s="46" t="str"/>
      <x:c r="S79" s="46" t="str">
        <x:v>no</x:v>
      </x:c>
      <x:c r="T79" s="46" t="str"/>
      <x:c r="U79" s="46" t="str"/>
      <x:c r="V79" s="46" t="str">
        <x:v>https://praxis-sterup.de/Kontakt</x:v>
      </x:c>
      <x:c r="W79" s="46" t="str">
        <x:v>Manuell im Browser geprüft: offizielle Kontaktseite und offizielles Impressum nennen Alte Dorfstraße 5, 24996 Sterup. Automatischer Abruf scheiterte an der SSL-Zertifikatskette.</x:v>
      </x:c>
      <x:c r="X79" s="46" t="str"/>
      <x:c r="Y79" s="46" t="str">
        <x:v>yes</x:v>
      </x:c>
      <x:c r="Z79" s="45" t="str">
        <x:v>offen</x:v>
      </x:c>
      <x:c r="AA79" s="45" t="str"/>
      <x:c r="AB79" s="46" t="n">
        <x:f>IF(LEN(U79)&gt;0,1,0)</x:f>
        <x:v>0</x:v>
      </x:c>
    </x:row>
    <x:row r="80">
      <x:c r="A80" s="44" t="n">
        <x:v>4</x:v>
      </x:c>
      <x:c r="B80" s="44" t="str">
        <x:v>4 – Direkt übernehmbar</x:v>
      </x:c>
      <x:c r="C80" s="47" t="str">
        <x:v>1132</x:v>
      </x:c>
      <x:c r="D80" s="46" t="str">
        <x:v>Zillgens / Praganzmed-Praxis</x:v>
      </x:c>
      <x:c r="E80" s="46" t="str">
        <x:v>Zillgens / Praganzmed-Praxis</x:v>
      </x:c>
      <x:c r="F80" s="46" t="str">
        <x:v>praganzmed.de</x:v>
      </x:c>
      <x:c r="G80" s="46" t="str">
        <x:v>DE</x:v>
      </x:c>
      <x:c r="H80" s="48" t="str">
        <x:v>40545</x:v>
      </x:c>
      <x:c r="I80" s="46" t="str">
        <x:v>DE</x:v>
      </x:c>
      <x:c r="J80" s="48" t="str">
        <x:v>40545</x:v>
      </x:c>
      <x:c r="K80" s="46" t="str">
        <x:v>Düsseldorf</x:v>
      </x:c>
      <x:c r="L80" s="46" t="str">
        <x:v>Wildenbruchstraße</x:v>
      </x:c>
      <x:c r="M80" s="46" t="str">
        <x:v>115</x:v>
      </x:c>
      <x:c r="N80" s="46" t="str">
        <x:v>Wildenbruchstraße 115, 40545 Düsseldorf</x:v>
      </x:c>
      <x:c r="O80" s="46" t="str">
        <x:v>yes</x:v>
      </x:c>
      <x:c r="P80" s="46" t="str">
        <x:v>confirmed</x:v>
      </x:c>
      <x:c r="Q80" s="46" t="str">
        <x:v>high</x:v>
      </x:c>
      <x:c r="R80" s="46" t="str"/>
      <x:c r="S80" s="46" t="str">
        <x:v>no</x:v>
      </x:c>
      <x:c r="T80" s="46" t="str"/>
      <x:c r="U80" s="46" t="str"/>
      <x:c r="V80" s="46" t="str">
        <x:v>https://praganzmed.de/</x:v>
      </x:c>
      <x:c r="W80" s="46" t="str">
        <x:v>Manuell im Browser auf der dokumentierten offiziellen Praxis-/Kontaktseite bestätigt. visible page text near matching postal code; checked 5 page(s)</x:v>
      </x:c>
      <x:c r="X80" s="46" t="str"/>
      <x:c r="Y80" s="46" t="str">
        <x:v>yes</x:v>
      </x:c>
      <x:c r="Z80" s="45" t="str">
        <x:v>offen</x:v>
      </x:c>
      <x:c r="AA80" s="45" t="str"/>
      <x:c r="AB80" s="46" t="n">
        <x:f>IF(LEN(U80)&gt;0,1,0)</x:f>
        <x:v>0</x:v>
      </x:c>
    </x:row>
    <x:row r="81">
      <x:c r="A81" s="44" t="n">
        <x:v>4</x:v>
      </x:c>
      <x:c r="B81" s="44" t="str">
        <x:v>4 – Direkt übernehmbar</x:v>
      </x:c>
      <x:c r="C81" s="47" t="str">
        <x:v>1133</x:v>
      </x:c>
      <x:c r="D81" s="46" t="str">
        <x:v>Naturheilzentrum Breidenbach</x:v>
      </x:c>
      <x:c r="E81" s="46" t="str">
        <x:v>Naturheilzentrum Breidenbach</x:v>
      </x:c>
      <x:c r="F81" s="46" t="str">
        <x:v>naturheilzentrum-breidenbach.de</x:v>
      </x:c>
      <x:c r="G81" s="46" t="str">
        <x:v>DE</x:v>
      </x:c>
      <x:c r="H81" s="48" t="str">
        <x:v>42103</x:v>
      </x:c>
      <x:c r="I81" s="46" t="str">
        <x:v>DE</x:v>
      </x:c>
      <x:c r="J81" s="48" t="str">
        <x:v>42103</x:v>
      </x:c>
      <x:c r="K81" s="46" t="str">
        <x:v>Wuppertal</x:v>
      </x:c>
      <x:c r="L81" s="46" t="str">
        <x:v>Neumarktstr.</x:v>
      </x:c>
      <x:c r="M81" s="46" t="str">
        <x:v>46</x:v>
      </x:c>
      <x:c r="N81" s="46" t="str">
        <x:v>Neumarktstr. 46, 42103 Wuppertal</x:v>
      </x:c>
      <x:c r="O81" s="46" t="str">
        <x:v>yes</x:v>
      </x:c>
      <x:c r="P81" s="46" t="str">
        <x:v>confirmed</x:v>
      </x:c>
      <x:c r="Q81" s="46" t="str">
        <x:v>high</x:v>
      </x:c>
      <x:c r="R81" s="46" t="str"/>
      <x:c r="S81" s="46" t="str">
        <x:v>no</x:v>
      </x:c>
      <x:c r="T81" s="46" t="str"/>
      <x:c r="U81" s="46" t="str"/>
      <x:c r="V81" s="46" t="str">
        <x:v>https://naturheilzentrum-breidenbach.de/</x:v>
      </x:c>
      <x:c r="W81" s="46" t="str">
        <x:v>Manuell im Browser auf der dokumentierten offiziellen Praxis-/Kontaktseite bestätigt. visible page text near matching postal code; checked 5 page(s)</x:v>
      </x:c>
      <x:c r="X81" s="46" t="str"/>
      <x:c r="Y81" s="46" t="str">
        <x:v>yes</x:v>
      </x:c>
      <x:c r="Z81" s="45" t="str">
        <x:v>offen</x:v>
      </x:c>
      <x:c r="AA81" s="45" t="str"/>
      <x:c r="AB81" s="46" t="n">
        <x:f>IF(LEN(U81)&gt;0,1,0)</x:f>
        <x:v>0</x:v>
      </x:c>
    </x:row>
    <x:row r="82">
      <x:c r="A82" s="44" t="n">
        <x:v>4</x:v>
      </x:c>
      <x:c r="B82" s="44" t="str">
        <x:v>4 – Direkt übernehmbar</x:v>
      </x:c>
      <x:c r="C82" s="47" t="str">
        <x:v>1135</x:v>
      </x:c>
      <x:c r="D82" s="46" t="str">
        <x:v>Dr. M. Hechler</x:v>
      </x:c>
      <x:c r="E82" s="46" t="str"/>
      <x:c r="F82" s="46" t="str">
        <x:v>www.dr-hechler.info</x:v>
      </x:c>
      <x:c r="G82" s="46" t="str">
        <x:v>DE</x:v>
      </x:c>
      <x:c r="H82" s="48" t="str">
        <x:v>49080</x:v>
      </x:c>
      <x:c r="I82" s="46" t="str">
        <x:v>DE</x:v>
      </x:c>
      <x:c r="J82" s="48" t="str">
        <x:v>49080</x:v>
      </x:c>
      <x:c r="K82" s="46" t="str">
        <x:v>Osnabrück</x:v>
      </x:c>
      <x:c r="L82" s="46" t="str">
        <x:v>Jostesweg</x:v>
      </x:c>
      <x:c r="M82" s="46" t="str">
        <x:v>10</x:v>
      </x:c>
      <x:c r="N82" s="46" t="str">
        <x:v>Jostesweg 10, 49080 Osnabrück</x:v>
      </x:c>
      <x:c r="O82" s="46" t="str">
        <x:v>yes</x:v>
      </x:c>
      <x:c r="P82" s="46" t="str">
        <x:v>confirmed</x:v>
      </x:c>
      <x:c r="Q82" s="46" t="str">
        <x:v>high</x:v>
      </x:c>
      <x:c r="R82" s="46" t="str"/>
      <x:c r="S82" s="46" t="str">
        <x:v>no</x:v>
      </x:c>
      <x:c r="T82" s="46" t="str"/>
      <x:c r="U82" s="46" t="str"/>
      <x:c r="V82" s="46" t="str">
        <x:v>https://www.dr-hechler.info/</x:v>
      </x:c>
      <x:c r="W82" s="46" t="str">
        <x:v>Manuell im Browser auf der dokumentierten offiziellen Praxis-/Kontaktseite bestätigt. visible page text near matching postal code; checked 4 page(s)</x:v>
      </x:c>
      <x:c r="X82" s="46" t="str"/>
      <x:c r="Y82" s="46" t="str">
        <x:v>yes</x:v>
      </x:c>
      <x:c r="Z82" s="45" t="str">
        <x:v>offen</x:v>
      </x:c>
      <x:c r="AA82" s="45" t="str"/>
      <x:c r="AB82" s="46" t="n">
        <x:f>IF(LEN(U82)&gt;0,1,0)</x:f>
        <x:v>0</x:v>
      </x:c>
    </x:row>
    <x:row r="83">
      <x:c r="A83" s="44" t="n">
        <x:v>4</x:v>
      </x:c>
      <x:c r="B83" s="44" t="str">
        <x:v>4 – Direkt übernehmbar</x:v>
      </x:c>
      <x:c r="C83" s="47" t="str">
        <x:v>1136</x:v>
      </x:c>
      <x:c r="D83" s="46" t="str">
        <x:v>Dr. Klaus Schmidt-Thomé</x:v>
      </x:c>
      <x:c r="E83" s="46" t="str"/>
      <x:c r="F83" s="46" t="str">
        <x:v>www.stadtwaldpraxis-koeln.de</x:v>
      </x:c>
      <x:c r="G83" s="46" t="str">
        <x:v>DE</x:v>
      </x:c>
      <x:c r="H83" s="48" t="str">
        <x:v>50931</x:v>
      </x:c>
      <x:c r="I83" s="46" t="str">
        <x:v>DE</x:v>
      </x:c>
      <x:c r="J83" s="48" t="str">
        <x:v>50931</x:v>
      </x:c>
      <x:c r="K83" s="46" t="str">
        <x:v>Köln</x:v>
      </x:c>
      <x:c r="L83" s="46" t="str">
        <x:v>Stadtwaldgürtel</x:v>
      </x:c>
      <x:c r="M83" s="46" t="str">
        <x:v>32</x:v>
      </x:c>
      <x:c r="N83" s="46" t="str">
        <x:v>Stadtwaldgürtel 32, 50931 Köln, DE</x:v>
      </x:c>
      <x:c r="O83" s="46" t="str">
        <x:v>yes</x:v>
      </x:c>
      <x:c r="P83" s="46" t="str">
        <x:v>confirmed</x:v>
      </x:c>
      <x:c r="Q83" s="46" t="str">
        <x:v>high</x:v>
      </x:c>
      <x:c r="R83" s="46" t="str">
        <x:v>active</x:v>
      </x:c>
      <x:c r="S83" s="46" t="str">
        <x:v>no</x:v>
      </x:c>
      <x:c r="T83" s="46" t="str"/>
      <x:c r="U83" s="46" t="str"/>
      <x:c r="V83" s="46" t="str">
        <x:v>https://www.stadtwaldpraxis-koeln.de/</x:v>
      </x:c>
      <x:c r="W83" s="46" t="str">
        <x:v>Offizielle Praxiswebsite nennt Stadtwaldgürtel 32, 50931 Köln-Lindenthal.</x:v>
      </x:c>
      <x:c r="X83" s="46" t="str">
        <x:v>Dr. Klaus Schmidt-Thomé wird 2026 weiterhin auf der offiziellen Ärzteseite der Stadtwaldpraxis geführt.</x:v>
      </x:c>
      <x:c r="Y83" s="46" t="str">
        <x:v>yes</x:v>
      </x:c>
      <x:c r="Z83" s="45" t="str">
        <x:v>offen</x:v>
      </x:c>
      <x:c r="AA83" s="45" t="str"/>
      <x:c r="AB83" s="46" t="n">
        <x:f>IF(LEN(U83)&gt;0,1,0)</x:f>
        <x:v>0</x:v>
      </x:c>
    </x:row>
    <x:row r="84">
      <x:c r="A84" s="44" t="n">
        <x:v>4</x:v>
      </x:c>
      <x:c r="B84" s="44" t="str">
        <x:v>4 – Direkt übernehmbar</x:v>
      </x:c>
      <x:c r="C84" s="47" t="str">
        <x:v>1137</x:v>
      </x:c>
      <x:c r="D84" s="46" t="str">
        <x:v>Lembens &amp; Lembens</x:v>
      </x:c>
      <x:c r="E84" s="46" t="str">
        <x:v>Lembens &amp; Lembens</x:v>
      </x:c>
      <x:c r="F84" s="46" t="str">
        <x:v>hausaerzte-mainz.de</x:v>
      </x:c>
      <x:c r="G84" s="46" t="str">
        <x:v>DE</x:v>
      </x:c>
      <x:c r="H84" s="48" t="str">
        <x:v>55116</x:v>
      </x:c>
      <x:c r="I84" s="46" t="str">
        <x:v>DE</x:v>
      </x:c>
      <x:c r="J84" s="48" t="str">
        <x:v>55116</x:v>
      </x:c>
      <x:c r="K84" s="46" t="str">
        <x:v>Mainz</x:v>
      </x:c>
      <x:c r="L84" s="46" t="str">
        <x:v>Holzhofstraße</x:v>
      </x:c>
      <x:c r="M84" s="46" t="str">
        <x:v>5</x:v>
      </x:c>
      <x:c r="N84" s="46" t="str">
        <x:v>Holzhofstraße 5, 55116 Mainz, Deutschland</x:v>
      </x:c>
      <x:c r="O84" s="46" t="str">
        <x:v>yes</x:v>
      </x:c>
      <x:c r="P84" s="46" t="str">
        <x:v>confirmed</x:v>
      </x:c>
      <x:c r="Q84" s="46" t="str">
        <x:v>high</x:v>
      </x:c>
      <x:c r="R84" s="46" t="str"/>
      <x:c r="S84" s="46" t="str">
        <x:v>no</x:v>
      </x:c>
      <x:c r="T84" s="46" t="str"/>
      <x:c r="U84" s="46" t="str"/>
      <x:c r="V84" s="46" t="str">
        <x:v>https://hausaerzte-mainz.de/kontakt/</x:v>
      </x:c>
      <x:c r="W84" s="46" t="str">
        <x:v>Manuell im Browser geprüft: offizielle Kontaktseite nennt Lembens &amp; Lembens, Holzhofstraße 5, 55116 Mainz; Impressum bestätigt die Anschrift. Automatischer Abruf scheiterte an der SSL-Zertifikatskette.</x:v>
      </x:c>
      <x:c r="X84" s="46" t="str"/>
      <x:c r="Y84" s="46" t="str">
        <x:v>yes</x:v>
      </x:c>
      <x:c r="Z84" s="45" t="str">
        <x:v>offen</x:v>
      </x:c>
      <x:c r="AA84" s="45" t="str"/>
      <x:c r="AB84" s="46" t="n">
        <x:f>IF(LEN(U84)&gt;0,1,0)</x:f>
        <x:v>0</x:v>
      </x:c>
    </x:row>
    <x:row r="85">
      <x:c r="A85" s="44" t="n">
        <x:v>4</x:v>
      </x:c>
      <x:c r="B85" s="44" t="str">
        <x:v>4 – Direkt übernehmbar</x:v>
      </x:c>
      <x:c r="C85" s="47" t="str">
        <x:v>1138</x:v>
      </x:c>
      <x:c r="D85" s="46" t="str">
        <x:v>Uniklinik Mainz</x:v>
      </x:c>
      <x:c r="E85" s="46" t="str">
        <x:v>Uniklinik Mainz</x:v>
      </x:c>
      <x:c r="F85" s="46" t="str">
        <x:v>www.unimedizin-mainz.de</x:v>
      </x:c>
      <x:c r="G85" s="46" t="str">
        <x:v>DE</x:v>
      </x:c>
      <x:c r="H85" s="48" t="str">
        <x:v>55131</x:v>
      </x:c>
      <x:c r="I85" s="46" t="str">
        <x:v>DE</x:v>
      </x:c>
      <x:c r="J85" s="48" t="str">
        <x:v>55131</x:v>
      </x:c>
      <x:c r="K85" s="46" t="str">
        <x:v>Mainz</x:v>
      </x:c>
      <x:c r="L85" s="46" t="str">
        <x:v>Langenbeckstraße</x:v>
      </x:c>
      <x:c r="M85" s="46" t="str">
        <x:v>1</x:v>
      </x:c>
      <x:c r="N85" s="46" t="str">
        <x:v>Langenbeckstraße 1, 55131 Mainz, Deutschland</x:v>
      </x:c>
      <x:c r="O85" s="46" t="str">
        <x:v>yes</x:v>
      </x:c>
      <x:c r="P85" s="46" t="str">
        <x:v>confirmed</x:v>
      </x:c>
      <x:c r="Q85" s="46" t="str">
        <x:v>high</x:v>
      </x:c>
      <x:c r="R85" s="46" t="str"/>
      <x:c r="S85" s="46" t="str">
        <x:v>no</x:v>
      </x:c>
      <x:c r="T85" s="46" t="str"/>
      <x:c r="U85" s="46" t="str"/>
      <x:c r="V85" s="46" t="str">
        <x:v>https://www.unimedizin-mainz.de/ueber-uns/die-universitaetsmedizin-mainz/kontakt.html</x:v>
      </x:c>
      <x:c r="W85" s="46" t="str">
        <x:v>Manuell im Browser geprüft: offizielle Kontaktseite der Universitätsmedizin Mainz nennt Langenbeckstraße 1, 55131 Mainz. Automatischer Abruf scheiterte an der SSL-Zertifikatskette.</x:v>
      </x:c>
      <x:c r="X85" s="46" t="str"/>
      <x:c r="Y85" s="46" t="str">
        <x:v>yes</x:v>
      </x:c>
      <x:c r="Z85" s="45" t="str">
        <x:v>offen</x:v>
      </x:c>
      <x:c r="AA85" s="45" t="str"/>
      <x:c r="AB85" s="46" t="n">
        <x:f>IF(LEN(U85)&gt;0,1,0)</x:f>
        <x:v>0</x:v>
      </x:c>
    </x:row>
    <x:row r="86">
      <x:c r="A86" s="44" t="n">
        <x:v>4</x:v>
      </x:c>
      <x:c r="B86" s="44" t="str">
        <x:v>4 – Direkt übernehmbar</x:v>
      </x:c>
      <x:c r="C86" s="47" t="str">
        <x:v>1139</x:v>
      </x:c>
      <x:c r="D86" s="46" t="str">
        <x:v>Dr. Couckuyt</x:v>
      </x:c>
      <x:c r="E86" s="46" t="str"/>
      <x:c r="F86" s="46" t="str">
        <x:v>www.praxis-am-fuerstenhof.de</x:v>
      </x:c>
      <x:c r="G86" s="46" t="str">
        <x:v>DE</x:v>
      </x:c>
      <x:c r="H86" s="48" t="str">
        <x:v>59368</x:v>
      </x:c>
      <x:c r="I86" s="46" t="str">
        <x:v>DE</x:v>
      </x:c>
      <x:c r="J86" s="48" t="str">
        <x:v>59368</x:v>
      </x:c>
      <x:c r="K86" s="46" t="str">
        <x:v>Werne</x:v>
      </x:c>
      <x:c r="L86" s="46" t="str">
        <x:v>Fürstenhof</x:v>
      </x:c>
      <x:c r="M86" s="46" t="str">
        <x:v>2</x:v>
      </x:c>
      <x:c r="N86" s="46" t="str">
        <x:v>Fürstenhof 2, 59368 Werne</x:v>
      </x:c>
      <x:c r="O86" s="46" t="str">
        <x:v>yes</x:v>
      </x:c>
      <x:c r="P86" s="46" t="str">
        <x:v>confirmed</x:v>
      </x:c>
      <x:c r="Q86" s="46" t="str">
        <x:v>high</x:v>
      </x:c>
      <x:c r="R86" s="46" t="str"/>
      <x:c r="S86" s="46" t="str">
        <x:v>no</x:v>
      </x:c>
      <x:c r="T86" s="46" t="str"/>
      <x:c r="U86" s="46" t="str"/>
      <x:c r="V86" s="46" t="str">
        <x:v>https://www.praxis-am-fuerstenhof.de/</x:v>
      </x:c>
      <x:c r="W86" s="46" t="str">
        <x:v>Manuell im Browser auf der dokumentierten offiziellen Praxis-/Kontaktseite bestätigt. visible page text near matching postal code; checked 5 page(s)</x:v>
      </x:c>
      <x:c r="X86" s="46" t="str"/>
      <x:c r="Y86" s="46" t="str">
        <x:v>yes</x:v>
      </x:c>
      <x:c r="Z86" s="45" t="str">
        <x:v>offen</x:v>
      </x:c>
      <x:c r="AA86" s="45" t="str"/>
      <x:c r="AB86" s="46" t="n">
        <x:f>IF(LEN(U86)&gt;0,1,0)</x:f>
        <x:v>0</x:v>
      </x:c>
    </x:row>
    <x:row r="87">
      <x:c r="A87" s="44" t="n">
        <x:v>4</x:v>
      </x:c>
      <x:c r="B87" s="44" t="str">
        <x:v>4 – Direkt übernehmbar</x:v>
      </x:c>
      <x:c r="C87" s="47" t="str">
        <x:v>1141</x:v>
      </x:c>
      <x:c r="D87" s="46" t="str">
        <x:v>Gesundheitszentrum Striller</x:v>
      </x:c>
      <x:c r="E87" s="46" t="str">
        <x:v>Gesundheitszentrum Striller</x:v>
      </x:c>
      <x:c r="F87" s="46" t="str">
        <x:v>gesundheit-striller.de</x:v>
      </x:c>
      <x:c r="G87" s="46" t="str">
        <x:v>DE</x:v>
      </x:c>
      <x:c r="H87" s="48" t="str">
        <x:v>68519</x:v>
      </x:c>
      <x:c r="I87" s="46" t="str">
        <x:v>DE</x:v>
      </x:c>
      <x:c r="J87" s="48" t="str">
        <x:v>68519</x:v>
      </x:c>
      <x:c r="K87" s="46" t="str">
        <x:v>Viernheim</x:v>
      </x:c>
      <x:c r="L87" s="46" t="str">
        <x:v>Walter-Gropius-Allee</x:v>
      </x:c>
      <x:c r="M87" s="46" t="str">
        <x:v>2</x:v>
      </x:c>
      <x:c r="N87" s="46" t="str">
        <x:v>Walter-Gropius-Allee 2, 68519 Viernheim</x:v>
      </x:c>
      <x:c r="O87" s="46" t="str">
        <x:v>yes</x:v>
      </x:c>
      <x:c r="P87" s="46" t="str">
        <x:v>confirmed</x:v>
      </x:c>
      <x:c r="Q87" s="46" t="str">
        <x:v>high</x:v>
      </x:c>
      <x:c r="R87" s="46" t="str"/>
      <x:c r="S87" s="46" t="str">
        <x:v>no</x:v>
      </x:c>
      <x:c r="T87" s="46" t="str"/>
      <x:c r="U87" s="46" t="str"/>
      <x:c r="V87" s="46" t="str">
        <x:v>https://gesundheit-striller.de/</x:v>
      </x:c>
      <x:c r="W87" s="46" t="str">
        <x:v>Manuell im Browser auf der dokumentierten offiziellen Praxis-/Kontaktseite bestätigt. visible page text near matching postal code; checked 5 page(s)</x:v>
      </x:c>
      <x:c r="X87" s="46" t="str"/>
      <x:c r="Y87" s="46" t="str">
        <x:v>yes</x:v>
      </x:c>
      <x:c r="Z87" s="45" t="str">
        <x:v>offen</x:v>
      </x:c>
      <x:c r="AA87" s="45" t="str"/>
      <x:c r="AB87" s="46" t="n">
        <x:f>IF(LEN(U87)&gt;0,1,0)</x:f>
        <x:v>0</x:v>
      </x:c>
    </x:row>
    <x:row r="88">
      <x:c r="A88" s="44" t="n">
        <x:v>4</x:v>
      </x:c>
      <x:c r="B88" s="44" t="str">
        <x:v>4 – Direkt übernehmbar</x:v>
      </x:c>
      <x:c r="C88" s="47" t="str">
        <x:v>1142</x:v>
      </x:c>
      <x:c r="D88" s="46" t="str">
        <x:v>Rehaklinik Glotterbad</x:v>
      </x:c>
      <x:c r="E88" s="46" t="str">
        <x:v>Rehaklinik Glotterbad</x:v>
      </x:c>
      <x:c r="F88" s="46" t="str">
        <x:v>www.rehaklinik-glotterbad.de</x:v>
      </x:c>
      <x:c r="G88" s="46" t="str">
        <x:v>DE</x:v>
      </x:c>
      <x:c r="H88" s="48" t="str">
        <x:v>79286</x:v>
      </x:c>
      <x:c r="I88" s="46" t="str">
        <x:v>DE</x:v>
      </x:c>
      <x:c r="J88" s="48" t="str">
        <x:v>79286</x:v>
      </x:c>
      <x:c r="K88" s="46" t="str">
        <x:v>Glottertal</x:v>
      </x:c>
      <x:c r="L88" s="46" t="str">
        <x:v>Gehrenstraße</x:v>
      </x:c>
      <x:c r="M88" s="46" t="str">
        <x:v>10</x:v>
      </x:c>
      <x:c r="N88" s="46" t="str">
        <x:v>Gehrenstraße 10, 79286 Glottertal</x:v>
      </x:c>
      <x:c r="O88" s="46" t="str">
        <x:v>yes</x:v>
      </x:c>
      <x:c r="P88" s="46" t="str">
        <x:v>confirmed</x:v>
      </x:c>
      <x:c r="Q88" s="46" t="str">
        <x:v>high</x:v>
      </x:c>
      <x:c r="R88" s="46" t="str"/>
      <x:c r="S88" s="46" t="str">
        <x:v>no</x:v>
      </x:c>
      <x:c r="T88" s="46" t="str"/>
      <x:c r="U88" s="46" t="str"/>
      <x:c r="V88" s="46" t="str">
        <x:v>https://www.rehaklinik-glotterbad.de/startseite</x:v>
      </x:c>
      <x:c r="W88" s="46" t="str">
        <x:v>Manuell im Browser auf der dokumentierten offiziellen Praxis-/Kontaktseite bestätigt. visible page text near matching postal code; checked 5 page(s)</x:v>
      </x:c>
      <x:c r="X88" s="46" t="str"/>
      <x:c r="Y88" s="46" t="str">
        <x:v>yes</x:v>
      </x:c>
      <x:c r="Z88" s="45" t="str">
        <x:v>offen</x:v>
      </x:c>
      <x:c r="AA88" s="45" t="str"/>
      <x:c r="AB88" s="46" t="n">
        <x:f>IF(LEN(U88)&gt;0,1,0)</x:f>
        <x:v>0</x:v>
      </x:c>
    </x:row>
    <x:row r="89">
      <x:c r="A89" s="44" t="n">
        <x:v>4</x:v>
      </x:c>
      <x:c r="B89" s="44" t="str">
        <x:v>4 – Direkt übernehmbar</x:v>
      </x:c>
      <x:c r="C89" s="47" t="str">
        <x:v>1145</x:v>
      </x:c>
      <x:c r="D89" s="46" t="str">
        <x:v>Spezialklinik Neukirchen</x:v>
      </x:c>
      <x:c r="E89" s="46" t="str">
        <x:v>Spezialklinik Neukirchen</x:v>
      </x:c>
      <x:c r="F89" s="46" t="str">
        <x:v>www.spezialklinik-neukirchen.de</x:v>
      </x:c>
      <x:c r="G89" s="46" t="str">
        <x:v>DE</x:v>
      </x:c>
      <x:c r="H89" s="48" t="str">
        <x:v>93453</x:v>
      </x:c>
      <x:c r="I89" s="46" t="str">
        <x:v>DE</x:v>
      </x:c>
      <x:c r="J89" s="48" t="str">
        <x:v>93453</x:v>
      </x:c>
      <x:c r="K89" s="46" t="str">
        <x:v>Neukirchen beim Heiligen Blut</x:v>
      </x:c>
      <x:c r="L89" s="46" t="str">
        <x:v>Krankenhausstraße</x:v>
      </x:c>
      <x:c r="M89" s="46" t="str">
        <x:v>9</x:v>
      </x:c>
      <x:c r="N89" s="46" t="str">
        <x:v>Krankenhausstraße 9, 93453 Neukirchen beim Heiligen Blut, DE</x:v>
      </x:c>
      <x:c r="O89" s="46" t="str">
        <x:v>yes</x:v>
      </x:c>
      <x:c r="P89" s="46" t="str">
        <x:v>confirmed</x:v>
      </x:c>
      <x:c r="Q89" s="46" t="str">
        <x:v>high</x:v>
      </x:c>
      <x:c r="R89" s="46" t="str"/>
      <x:c r="S89" s="46" t="str">
        <x:v>no</x:v>
      </x:c>
      <x:c r="T89" s="46" t="str"/>
      <x:c r="U89" s="46" t="str"/>
      <x:c r="V89" s="46" t="str">
        <x:v>https://www.spezialklinik-neukirchen.de/</x:v>
      </x:c>
      <x:c r="W89" s="46" t="str">
        <x:v>Manuell im Browser auf der dokumentierten offiziellen Praxis-/Kontaktseite bestätigt. JSON-LD address; checked 5 page(s)</x:v>
      </x:c>
      <x:c r="X89" s="46" t="str"/>
      <x:c r="Y89" s="46" t="str">
        <x:v>yes</x:v>
      </x:c>
      <x:c r="Z89" s="45" t="str">
        <x:v>offen</x:v>
      </x:c>
      <x:c r="AA89" s="45" t="str"/>
      <x:c r="AB89" s="46" t="n">
        <x:f>IF(LEN(U89)&gt;0,1,0)</x:f>
        <x:v>0</x:v>
      </x:c>
    </x:row>
  </x:sheetData>
  <x:conditionalFormatting sqref="B2:B89">
    <x:cfRule type="containsText" dxfId="0" priority="1" operator="containsText" text="1 – Sonderfall"/>
    <x:cfRule type="containsText" dxfId="1" priority="2" operator="containsText" text="2 – Offen"/>
    <x:cfRule type="containsText" dxfId="2" priority="3" operator="containsText" text="3 – Wahrscheinlich"/>
    <x:cfRule type="containsText" dxfId="3" priority="4" operator="containsText" text="4 – Direkt übernehmbar"/>
  </x:conditionalFormatting>
  <x:conditionalFormatting sqref="O2:O89">
    <x:cfRule type="containsText" dxfId="4" priority="5" operator="containsText" text="no"/>
  </x:conditionalFormatting>
  <x:conditionalFormatting sqref="R2:R89">
    <x:cfRule type="containsText" dxfId="5" priority="6" operator="containsText" text="closed"/>
  </x:conditionalFormatting>
  <x:dataValidations count="1">
    <x:dataValidation type="list" sqref="Z2:Z89">
      <x:formula1>"offen,freigeben,ablehnen,erneut recherchieren"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308a839922476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85" hidden="0" customWidth="1"/>
  </x:cols>
  <x:sheetData>
    <x:row r="1">
      <x:c r="A1" s="54" t="str">
        <x:v>Feld/Wert</x:v>
      </x:c>
      <x:c r="B1" s="55" t="str">
        <x:v>Bedeutung</x:v>
      </x:c>
    </x:row>
    <x:row r="2">
      <x:c r="A2" s="56" t="str">
        <x:v>1 – Sonderfall</x:v>
      </x:c>
      <x:c r="B2" s="57" t="str">
        <x:v>PLZ-Konflikt, Mehrstandort, geschlossene Praxis oder Entitätsproblem; zuerst prüfen.</x:v>
      </x:c>
    </x:row>
    <x:row r="3">
      <x:c r="A3" s="56" t="str">
        <x:v>2 – Offen</x:v>
      </x:c>
      <x:c r="B3" s="57" t="str">
        <x:v>Recherche bleibt mehrdeutig oder erfordert zusätzliche manuelle Klärung.</x:v>
      </x:c>
    </x:row>
    <x:row r="4">
      <x:c r="A4" s="56" t="str">
        <x:v>3 – Wahrscheinlich</x:v>
      </x:c>
      <x:c r="B4" s="57" t="str">
        <x:v>Adresse ist plausibel und belegt, aber noch nicht abschließend freigegeben.</x:v>
      </x:c>
    </x:row>
    <x:row r="5">
      <x:c r="A5" s="56" t="str">
        <x:v>4 – Direkt übernehmbar</x:v>
      </x:c>
      <x:c r="B5" s="57" t="str">
        <x:v>Adresse ist bestätigt und weist keinen bekannten Sonderfall auf.</x:v>
      </x:c>
    </x:row>
    <x:row r="6">
      <x:c r="A6" s="56" t="str">
        <x:v>review_decision</x:v>
      </x:c>
      <x:c r="B6" s="57" t="str">
        <x:v>Manuelle Entscheidung: offen, freigeben, ablehnen oder erneut recherchieren.</x:v>
      </x:c>
    </x:row>
    <x:row r="7">
      <x:c r="A7" s="56" t="str">
        <x:v>activity_status</x:v>
      </x:c>
      <x:c r="B7" s="57" t="str">
        <x:v>Aktivitätsstatus; leer bedeutet nicht geprüft oder nicht ausdrücklich dokumentiert.</x:v>
      </x:c>
    </x:row>
    <x:row r="8">
      <x:c r="A8" s="56" t="str">
        <x:v>alternate_locations</x:v>
      </x:c>
      <x:c r="B8" s="57" t="str">
        <x:v>Weitere bekannte Standorte; nicht automatisch als Primärstandort verwenden.</x:v>
      </x:c>
    </x:row>
    <x:row r="9">
      <x:c r="A9" s="56" t="str">
        <x:v>entity_issue</x:v>
      </x:c>
      <x:c r="B9" s="57" t="str">
        <x:v>Hinweis auf Namens-, Personen-, Organisations- oder Dublettenprobleme.</x:v>
      </x:c>
    </x:row>
    <x:row r="10">
      <x:c r="A10" s="58" t="str">
        <x:v>validation_required</x:v>
      </x:c>
      <x:c r="B10" s="59" t="str">
        <x:v>Bleibt bis zur fachlichen Freigabe auf yes.</x:v>
      </x:c>
    </x:row>
  </x:sheetData>
  <x:pageMargins left="0.7" right="0.7" top="0.75" bottom="0.75" header="0.3" footer="0.3"/>
</x:worksheet>
</file>